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mputer bazar\Downloads\"/>
    </mc:Choice>
  </mc:AlternateContent>
  <xr:revisionPtr revIDLastSave="0" documentId="13_ncr:1_{538C1A65-544E-4141-98A8-3AFEC6A7C0C4}" xr6:coauthVersionLast="47" xr6:coauthVersionMax="47" xr10:uidLastSave="{00000000-0000-0000-0000-000000000000}"/>
  <bookViews>
    <workbookView xWindow="-120" yWindow="-120" windowWidth="25440" windowHeight="15270" tabRatio="500" xr2:uid="{00000000-000D-0000-FFFF-FFFF00000000}"/>
  </bookViews>
  <sheets>
    <sheet name="Dashboard" sheetId="1" r:id="rId1"/>
    <sheet name="Summary" sheetId="2" r:id="rId2"/>
    <sheet name="Top Accounts" sheetId="3" r:id="rId3"/>
    <sheet name="Raw 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2" i="3" l="1"/>
  <c r="G12" i="3" s="1"/>
  <c r="E12" i="3"/>
  <c r="D12" i="3"/>
  <c r="C12" i="3"/>
  <c r="F11" i="3"/>
  <c r="G11" i="3" s="1"/>
  <c r="E11" i="3"/>
  <c r="D11" i="3"/>
  <c r="C11" i="3"/>
  <c r="F10" i="3"/>
  <c r="G10" i="3" s="1"/>
  <c r="E10" i="3"/>
  <c r="D10" i="3"/>
  <c r="C10" i="3"/>
  <c r="F9" i="3"/>
  <c r="G9" i="3" s="1"/>
  <c r="E9" i="3"/>
  <c r="D9" i="3"/>
  <c r="C9" i="3"/>
  <c r="G8" i="3"/>
  <c r="F8" i="3"/>
  <c r="E8" i="3"/>
  <c r="D8" i="3"/>
  <c r="C8" i="3"/>
  <c r="F7" i="3"/>
  <c r="E7" i="3"/>
  <c r="D7" i="3"/>
  <c r="G7" i="3" s="1"/>
  <c r="C7" i="3"/>
  <c r="F6" i="3"/>
  <c r="E6" i="3"/>
  <c r="D6" i="3"/>
  <c r="G6" i="3" s="1"/>
  <c r="C6" i="3"/>
  <c r="F5" i="3"/>
  <c r="G5" i="3" s="1"/>
  <c r="E5" i="3"/>
  <c r="D5" i="3"/>
  <c r="C5" i="3"/>
  <c r="G4" i="3"/>
  <c r="F4" i="3"/>
  <c r="E4" i="3"/>
  <c r="D4" i="3"/>
  <c r="C4" i="3"/>
  <c r="F3" i="3"/>
  <c r="E3" i="3"/>
  <c r="D3" i="3"/>
  <c r="G3" i="3" s="1"/>
  <c r="C3" i="3"/>
  <c r="B24" i="2"/>
  <c r="B23" i="2"/>
  <c r="B22" i="2"/>
  <c r="B21" i="2"/>
  <c r="B20" i="2"/>
  <c r="B19" i="2"/>
  <c r="B18" i="2"/>
  <c r="B17" i="2"/>
  <c r="B16" i="2"/>
  <c r="B15" i="2"/>
  <c r="B14" i="2"/>
  <c r="B13" i="2"/>
  <c r="G9" i="2"/>
  <c r="F9" i="2"/>
  <c r="E9" i="2"/>
  <c r="G8" i="2"/>
  <c r="F8" i="2"/>
  <c r="E8" i="2"/>
  <c r="B8" i="2"/>
  <c r="O7" i="2"/>
  <c r="N7" i="2"/>
  <c r="G7" i="2"/>
  <c r="F7" i="2"/>
  <c r="E7" i="2"/>
  <c r="O6" i="2"/>
  <c r="N6" i="2"/>
  <c r="G6" i="2"/>
  <c r="F6" i="2"/>
  <c r="E6" i="2"/>
  <c r="B6" i="2"/>
  <c r="O5" i="2"/>
  <c r="N5" i="2"/>
  <c r="K5" i="2"/>
  <c r="J5" i="2"/>
  <c r="G5" i="2"/>
  <c r="F5" i="2"/>
  <c r="E5" i="2"/>
  <c r="B5" i="2"/>
  <c r="F6" i="1" s="1"/>
  <c r="O4" i="2"/>
  <c r="N4" i="2"/>
  <c r="K4" i="2"/>
  <c r="J4" i="2"/>
  <c r="G4" i="2"/>
  <c r="F4" i="2"/>
  <c r="E4" i="2"/>
  <c r="B4" i="2"/>
  <c r="D6" i="1" s="1"/>
  <c r="O3" i="2"/>
  <c r="N3" i="2"/>
  <c r="K3" i="2"/>
  <c r="J3" i="2"/>
  <c r="G3" i="2"/>
  <c r="F3" i="2"/>
  <c r="E3" i="2"/>
  <c r="B3" i="2"/>
  <c r="B7" i="2" s="1"/>
  <c r="H6" i="1" s="1"/>
  <c r="B6" i="1"/>
</calcChain>
</file>

<file path=xl/sharedStrings.xml><?xml version="1.0" encoding="utf-8"?>
<sst xmlns="http://schemas.openxmlformats.org/spreadsheetml/2006/main" count="490" uniqueCount="120">
  <si>
    <t>Model Fleet — Sales Dashboard (FY2025)</t>
  </si>
  <si>
    <t>Linked to Summary and Raw Data — refresh formulas to update</t>
  </si>
  <si>
    <t>Total Revenue</t>
  </si>
  <si>
    <t>Units Shipped</t>
  </si>
  <si>
    <t>Order Lines</t>
  </si>
  <si>
    <t>Avg Order Value</t>
  </si>
  <si>
    <t>Key Metrics — FY2025</t>
  </si>
  <si>
    <t>Revenue by Product Line</t>
  </si>
  <si>
    <t>Revenue by Territory</t>
  </si>
  <si>
    <t>Order Lines by Status</t>
  </si>
  <si>
    <t>Product Line</t>
  </si>
  <si>
    <t>Revenue</t>
  </si>
  <si>
    <t>Units</t>
  </si>
  <si>
    <t>Orders</t>
  </si>
  <si>
    <t>Territory</t>
  </si>
  <si>
    <t>Status</t>
  </si>
  <si>
    <t>Classic Cars</t>
  </si>
  <si>
    <t>APAC</t>
  </si>
  <si>
    <t>Cancelled</t>
  </si>
  <si>
    <t>Total Units Shipped</t>
  </si>
  <si>
    <t>Motorcycles</t>
  </si>
  <si>
    <t>EMEA</t>
  </si>
  <si>
    <t>In Process</t>
  </si>
  <si>
    <t>Planes</t>
  </si>
  <si>
    <t>NA</t>
  </si>
  <si>
    <t>On Hold</t>
  </si>
  <si>
    <t>Unique Accounts</t>
  </si>
  <si>
    <t>Ships</t>
  </si>
  <si>
    <t>Resolved</t>
  </si>
  <si>
    <t>Average Order Value</t>
  </si>
  <si>
    <t>Trains</t>
  </si>
  <si>
    <t>Shipped</t>
  </si>
  <si>
    <t>Revenue Lost to Cancellations</t>
  </si>
  <si>
    <t>Trucks and Buses</t>
  </si>
  <si>
    <t>Vintage Cars</t>
  </si>
  <si>
    <t>Monthly Revenue Trend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</si>
  <si>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</si>
  <si>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</si>
  <si>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</si>
  <si>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</si>
  <si>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</si>
  <si>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</si>
  <si>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</si>
  <si>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</si>
  <si>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</si>
  <si>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</si>
  <si>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</si>
  <si>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</si>
  <si>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</si>
  <si>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Account Performance — Ranked by Revenue</t>
  </si>
  <si>
    <t>Rank</t>
  </si>
  <si>
    <t>Customer</t>
  </si>
  <si>
    <t>Auto Canal Petit</t>
  </si>
  <si>
    <t>Tokyo Collectables</t>
  </si>
  <si>
    <t>Euro+ Shopping Channel</t>
  </si>
  <si>
    <t>La Rochelle Gifts</t>
  </si>
  <si>
    <t>Mini Gifts Distributors Ltd.</t>
  </si>
  <si>
    <t>Signal Gift Stores</t>
  </si>
  <si>
    <t>Baane Mini Imports</t>
  </si>
  <si>
    <t>UK Collectables Ltd.</t>
  </si>
  <si>
    <t>Australian Collectors Co.</t>
  </si>
  <si>
    <t>Atelier Graphique</t>
  </si>
  <si>
    <t>Order #</t>
  </si>
  <si>
    <t>Order Line</t>
  </si>
  <si>
    <t>Order Date</t>
  </si>
  <si>
    <t>Product Code</t>
  </si>
  <si>
    <t>City</t>
  </si>
  <si>
    <t>Country</t>
  </si>
  <si>
    <t>Quantity</t>
  </si>
  <si>
    <t>Price Each</t>
  </si>
  <si>
    <t>Qtr</t>
  </si>
  <si>
    <t>Year</t>
  </si>
  <si>
    <t>2025-01-14</t>
  </si>
  <si>
    <t>S10_1678</t>
  </si>
  <si>
    <t>Nantes</t>
  </si>
  <si>
    <t>France</t>
  </si>
  <si>
    <t>2025-01-28</t>
  </si>
  <si>
    <t>S10_2016</t>
  </si>
  <si>
    <t>Las Vegas</t>
  </si>
  <si>
    <t>USA</t>
  </si>
  <si>
    <t>2025-02-11</t>
  </si>
  <si>
    <t>S18_1662</t>
  </si>
  <si>
    <t>Melbourne</t>
  </si>
  <si>
    <t>Australia</t>
  </si>
  <si>
    <t>2025-02-24</t>
  </si>
  <si>
    <t>S24_2011</t>
  </si>
  <si>
    <t>2025-03-06</t>
  </si>
  <si>
    <t>S32_3207</t>
  </si>
  <si>
    <t>Stavern</t>
  </si>
  <si>
    <t>Norway</t>
  </si>
  <si>
    <t>2025-03-19</t>
  </si>
  <si>
    <t>S12_4473</t>
  </si>
  <si>
    <t>San Rafael</t>
  </si>
  <si>
    <t>2025-04-02</t>
  </si>
  <si>
    <t>S18_2949</t>
  </si>
  <si>
    <t>Tokyo</t>
  </si>
  <si>
    <t>Japan</t>
  </si>
  <si>
    <t>2025-04-18</t>
  </si>
  <si>
    <t>Paris</t>
  </si>
  <si>
    <t>2025-05-07</t>
  </si>
  <si>
    <t>Liverpool</t>
  </si>
  <si>
    <t>UK</t>
  </si>
  <si>
    <t>2025-05-23</t>
  </si>
  <si>
    <t>Madrid</t>
  </si>
  <si>
    <t>Spain</t>
  </si>
  <si>
    <t>2025-06-09</t>
  </si>
  <si>
    <t>2025-06-25</t>
  </si>
  <si>
    <t>2025-07-10</t>
  </si>
  <si>
    <t>2025-07-29</t>
  </si>
  <si>
    <t>2025-08-13</t>
  </si>
  <si>
    <t>2025-08-27</t>
  </si>
  <si>
    <t>2025-09-08</t>
  </si>
  <si>
    <t>2025-09-22</t>
  </si>
  <si>
    <t>2025-10-06</t>
  </si>
  <si>
    <t>2025-10-21</t>
  </si>
  <si>
    <t>2025-11-05</t>
  </si>
  <si>
    <t>2025-11-19</t>
  </si>
  <si>
    <t>2025-12-03</t>
  </si>
  <si>
    <t>2025-12-17</t>
  </si>
  <si>
    <t>2025-12-29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</si>
</sst>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\$#,##0.00"/>
    <numFmt numFmtId="166" formatCode="yyyy\-mm\-dd"/>
  </numFmts>
  <fonts count="9" x14ac:knownFonts="1">
    <font>
      <sz val="11"/>
      <color theme="1"/>
      <name val="Calibri"/>
      <family val="2"/>
      <charset val="1"/>
    </font>
    <font>
      <b/>
      <sz val="16"/>
      <color rgb="FF1B2A3D"/>
      <name val="Arial"/>
      <charset val="1"/>
    </font>
    <font>
      <i/>
      <sz val="9"/>
      <color rgb="FF5A6472"/>
      <name val="Arial"/>
      <charset val="1"/>
    </font>
    <font>
      <sz val="9"/>
      <color rgb="FF5A6472"/>
      <name val="Arial"/>
      <charset val="1"/>
    </font>
    <font>
      <b/>
      <sz val="12"/>
      <color rgb="FF1B2A3D"/>
      <name val="Arial"/>
      <charset val="1"/>
    </font>
    <font>
      <b/>
      <sz val="10"/>
      <color rgb="FFFFFFFF"/>
      <name val="Arial"/>
      <charset val="1"/>
    </font>
    <font>
      <sz val="10.5"/>
      <name val="Arial"/>
      <charset val="1"/>
    </font>
    <font>
      <b/>
      <sz val="11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B2A3D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1" fillId="0" borderId="0" xfId="0" applyNumberFormat="1" applyFont="1"/>
    <xf numFmtId="3" fontId="1" fillId="0" borderId="0" xfId="0" applyNumberFormat="1" applyFont="1"/>
    <xf numFmtId="165" fontId="1" fillId="0" borderId="0" xfId="0" applyNumberFormat="1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165" fontId="7" fillId="0" borderId="0" xfId="0" applyNumberFormat="1" applyFont="1"/>
    <xf numFmtId="0" fontId="8" fillId="0" borderId="0" xfId="0" applyFont="1"/>
    <xf numFmtId="165" fontId="0" fillId="0" borderId="0" xfId="0" applyNumberFormat="1"/>
    <xf numFmtId="3" fontId="0" fillId="0" borderId="0" xfId="0" applyNumberFormat="1"/>
    <xf numFmtId="3" fontId="7" fillId="0" borderId="0" xfId="0" applyNumberFormat="1" applyFont="1"/>
    <xf numFmtId="0" fontId="5" fillId="2" borderId="0" xfId="0" applyFont="1" applyFill="1" applyAlignment="1">
      <alignment horizontal="center" vertical="center"/>
    </xf>
    <xf numFmtId="166" fontId="8" fillId="0" borderId="0" xfId="0" applyNumberFormat="1" applyFont="1"/>
    <xf numFmtId="165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F6600"/>
      <rgbColor rgb="FF5A6472"/>
      <rgbColor rgb="FF8064A2"/>
      <rgbColor rgb="FF003366"/>
      <rgbColor rgb="FF4F81BD"/>
      <rgbColor rgb="FF003300"/>
      <rgbColor rgb="FF333300"/>
      <rgbColor rgb="FF993300"/>
      <rgbColor rgb="FF993366"/>
      <rgbColor rgb="FF333399"/>
      <rgbColor rgb="FF1B2A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Revenue</c:v>
                </c:pt>
              </c:strCache>
            </c:strRef>
          </c:tx>
          <c:spPr>
            <a:ln w="248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Summary!$A$13:$A$24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Summary!$B$13:$B$24</c:f>
              <c:numCache>
                <c:formatCode>\$#,##0.00</c:formatCode>
                <c:ptCount val="12"/>
                <c:pt idx="0">
                  <c:v>7926.7699999999995</c:v>
                </c:pt>
                <c:pt idx="1">
                  <c:v>16184.93</c:v>
                </c:pt>
                <c:pt idx="2">
                  <c:v>21116.65</c:v>
                </c:pt>
                <c:pt idx="3">
                  <c:v>23012.190000000002</c:v>
                </c:pt>
                <c:pt idx="4">
                  <c:v>9196.73</c:v>
                </c:pt>
                <c:pt idx="5">
                  <c:v>18066.849999999999</c:v>
                </c:pt>
                <c:pt idx="6">
                  <c:v>18092.61</c:v>
                </c:pt>
                <c:pt idx="7">
                  <c:v>18965.11</c:v>
                </c:pt>
                <c:pt idx="8">
                  <c:v>10538.69</c:v>
                </c:pt>
                <c:pt idx="9">
                  <c:v>15175.77</c:v>
                </c:pt>
                <c:pt idx="10">
                  <c:v>20460.57</c:v>
                </c:pt>
                <c:pt idx="11">
                  <c:v>20349.719999999998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78-40A5-8459-9D2094377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1022135"/>
        <c:axId val="14996036"/>
      </c:lineChart>
      <c:catAx>
        <c:axId val="910221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996036"/>
        <c:crosses val="autoZero"/>
        <c:auto val="1"/>
        <c:lblAlgn val="ctr"/>
        <c:lblOffset val="100"/>
        <c:noMultiLvlLbl val="0"/>
      </c:catAx>
      <c:valAx>
        <c:axId val="149960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0221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Product 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Summary!$E$2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Summary!$D$3:$D$9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Summary!$E$3:$E$9</c:f>
              <c:numCache>
                <c:formatCode>\$#,##0.00</c:formatCode>
                <c:ptCount val="7"/>
                <c:pt idx="0">
                  <c:v>43717.380000000005</c:v>
                </c:pt>
                <c:pt idx="1">
                  <c:v>28451.59</c:v>
                </c:pt>
                <c:pt idx="2">
                  <c:v>17794.2</c:v>
                </c:pt>
                <c:pt idx="3">
                  <c:v>21635.940000000002</c:v>
                </c:pt>
                <c:pt idx="4">
                  <c:v>25370.41</c:v>
                </c:pt>
                <c:pt idx="5">
                  <c:v>29148.09</c:v>
                </c:pt>
                <c:pt idx="6">
                  <c:v>32968.979999999996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16-48A8-B148-2203F7C2B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676609"/>
        <c:axId val="78316256"/>
      </c:barChart>
      <c:catAx>
        <c:axId val="6167660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316256"/>
        <c:crosses val="autoZero"/>
        <c:auto val="1"/>
        <c:lblAlgn val="ctr"/>
        <c:lblOffset val="100"/>
        <c:noMultiLvlLbl val="0"/>
      </c:catAx>
      <c:valAx>
        <c:axId val="7831625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6766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Order Lines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Summary!$N$2</c:f>
              <c:strCache>
                <c:ptCount val="1"/>
                <c:pt idx="0">
                  <c:v>Order Lines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A9E7-41CF-8E92-288207F2913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9E7-41CF-8E92-288207F29130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9E7-41CF-8E92-288207F29130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9E7-41CF-8E92-288207F29130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A9E7-41CF-8E92-288207F29130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9E7-41CF-8E92-288207F29130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9E7-41CF-8E92-288207F29130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A9E7-41CF-8E92-288207F29130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A9E7-41CF-8E92-288207F29130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A9E7-41CF-8E92-288207F291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Summary!$M$3:$M$7</c:f>
              <c:strCache>
                <c:ptCount val="5"/>
                <c:pt idx="0">
                  <c:v>Cancelled</c:v>
                </c:pt>
                <c:pt idx="1">
                  <c:v>In Process</c:v>
                </c:pt>
                <c:pt idx="2">
                  <c:v>On Hold</c:v>
                </c:pt>
                <c:pt idx="3">
                  <c:v>Resolved</c:v>
                </c:pt>
                <c:pt idx="4">
                  <c:v>Shipped</c:v>
                </c:pt>
              </c:strCache>
            </c:strRef>
          </c:cat>
          <c:val>
            <c:numRef>
              <c:f>Summary!$N$3:$N$7</c:f>
              <c:numCache>
                <c:formatCode>#,##0</c:formatCode>
                <c:ptCount val="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E7-41CF-8E92-288207F29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Territory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Summary!$J$2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Summary!$I$3:$I$5</c:f>
              <c:strCache>
                <c:ptCount val="3"/>
                <c:pt idx="0">
                  <c:v>APAC</c:v>
                </c:pt>
                <c:pt idx="1">
                  <c:v>EMEA</c:v>
                </c:pt>
                <c:pt idx="2">
                  <c:v>NA</c:v>
                </c:pt>
              </c:strCache>
            </c:strRef>
          </c:cat>
          <c:val>
            <c:numRef>
              <c:f>Summary!$J$3:$J$5</c:f>
              <c:numCache>
                <c:formatCode>\$#,##0.00</c:formatCode>
                <c:ptCount val="3"/>
                <c:pt idx="0">
                  <c:v>39146.179999999993</c:v>
                </c:pt>
                <c:pt idx="1">
                  <c:v>119902.53</c:v>
                </c:pt>
                <c:pt idx="2">
                  <c:v>40037.879999999997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29-4749-824E-C5C55A9B9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047518"/>
        <c:axId val="95871424"/>
      </c:barChart>
      <c:catAx>
        <c:axId val="890475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871424"/>
        <c:crosses val="autoZero"/>
        <c:auto val="1"/>
        <c:lblAlgn val="ctr"/>
        <c:lblOffset val="100"/>
        <c:noMultiLvlLbl val="0"/>
      </c:catAx>
      <c:valAx>
        <c:axId val="958714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0475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70920</xdr:rowOff>
    </xdr:from>
    <xdr:to>
      <xdr:col>13</xdr:col>
      <xdr:colOff>4350</xdr:colOff>
      <xdr:row>23</xdr:row>
      <xdr:rowOff>82800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7</xdr:row>
      <xdr:rowOff>70920</xdr:rowOff>
    </xdr:from>
    <xdr:to>
      <xdr:col>22</xdr:col>
      <xdr:colOff>2730</xdr:colOff>
      <xdr:row>23</xdr:row>
      <xdr:rowOff>82800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70920</xdr:rowOff>
    </xdr:from>
    <xdr:to>
      <xdr:col>7</xdr:col>
      <xdr:colOff>724680</xdr:colOff>
      <xdr:row>41</xdr:row>
      <xdr:rowOff>82800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25</xdr:row>
      <xdr:rowOff>70920</xdr:rowOff>
    </xdr:from>
    <xdr:to>
      <xdr:col>16</xdr:col>
      <xdr:colOff>294495</xdr:colOff>
      <xdr:row>41</xdr:row>
      <xdr:rowOff>82800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opAccounts" displayName="TopAccounts" ref="A2:G12" totalsRowShown="0">
  <autoFilter ref="A2:G12" xr:uid="{00000000-0009-0000-0100-000002000000}"/>
  <tableColumns count="7">
    <tableColumn id="1" xr3:uid="{00000000-0010-0000-0000-000001000000}" name="Rank"/>
    <tableColumn id="2" xr3:uid="{00000000-0010-0000-0000-000002000000}" name="Customer"/>
    <tableColumn id="3" xr3:uid="{00000000-0010-0000-0000-000003000000}" name="Territory"/>
    <tableColumn id="4" xr3:uid="{00000000-0010-0000-0000-000004000000}" name="Order Lines"/>
    <tableColumn id="5" xr3:uid="{00000000-0010-0000-0000-000005000000}" name="Units"/>
    <tableColumn id="6" xr3:uid="{00000000-0010-0000-0000-000006000000}" name="Revenue"/>
    <tableColumn id="7" xr3:uid="{00000000-0010-0000-0000-000007000000}" name="Avg Order Valu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RawData" displayName="RawData" ref="A1:P51" totalsRowShown="0">
  <autoFilter ref="A1:P51" xr:uid="{00000000-0009-0000-0100-000001000000}"/>
  <tableColumns count="16">
    <tableColumn id="1" xr3:uid="{00000000-0010-0000-0100-000001000000}" name="Order #"/>
    <tableColumn id="2" xr3:uid="{00000000-0010-0000-0100-000002000000}" name="Order Line"/>
    <tableColumn id="3" xr3:uid="{00000000-0010-0000-0100-000003000000}" name="Order Date"/>
    <tableColumn id="4" xr3:uid="{00000000-0010-0000-0100-000004000000}" name="Product Line"/>
    <tableColumn id="5" xr3:uid="{00000000-0010-0000-0100-000005000000}" name="Product Code"/>
    <tableColumn id="6" xr3:uid="{00000000-0010-0000-0100-000006000000}" name="Customer"/>
    <tableColumn id="7" xr3:uid="{00000000-0010-0000-0100-000007000000}" name="City"/>
    <tableColumn id="8" xr3:uid="{00000000-0010-0000-0100-000008000000}" name="Country"/>
    <tableColumn id="9" xr3:uid="{00000000-0010-0000-0100-000009000000}" name="Territory"/>
    <tableColumn id="10" xr3:uid="{00000000-0010-0000-0100-00000A000000}" name="Quantity"/>
    <tableColumn id="11" xr3:uid="{00000000-0010-0000-0100-00000B000000}" name="Price Each"/>
    <tableColumn id="12" xr3:uid="{00000000-0010-0000-0100-00000C000000}" name="Revenue"/>
    <tableColumn id="13" xr3:uid="{00000000-0010-0000-0100-00000D000000}" name="Status"/>
    <tableColumn id="14" xr3:uid="{00000000-0010-0000-0100-00000E000000}" name="Qtr"/>
    <tableColumn id="15" xr3:uid="{00000000-0010-0000-0100-00000F000000}" name="Month"/>
    <tableColumn id="16" xr3:uid="{00000000-0010-0000-0100-000010000000}" name="Yea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6"/>
  <sheetViews>
    <sheetView showGridLines="0" tabSelected="1" zoomScaleNormal="100" workbookViewId="0">
      <selection activeCell="R7" sqref="R7"/>
    </sheetView>
  </sheetViews>
  <sheetFormatPr defaultColWidth="8.7109375" defaultRowHeight="15" x14ac:dyDescent="0.25"/>
  <cols>
    <col min="1" max="1" width="3" customWidth="1"/>
    <col min="2" max="2" width="14" customWidth="1"/>
    <col min="3" max="3" width="3" customWidth="1"/>
    <col min="4" max="4" width="14" customWidth="1"/>
    <col min="5" max="5" width="3" customWidth="1"/>
    <col min="6" max="6" width="14" customWidth="1"/>
    <col min="7" max="7" width="3" customWidth="1"/>
    <col min="8" max="8" width="21.140625" customWidth="1"/>
    <col min="9" max="13" width="3" customWidth="1"/>
  </cols>
  <sheetData>
    <row r="2" spans="2:8" ht="20.25" x14ac:dyDescent="0.3">
      <c r="B2" s="1" t="s">
        <v>0</v>
      </c>
    </row>
    <row r="3" spans="2:8" x14ac:dyDescent="0.25">
      <c r="B3" s="2" t="s">
        <v>1</v>
      </c>
    </row>
    <row r="5" spans="2:8" x14ac:dyDescent="0.25">
      <c r="B5" s="3" t="s">
        <v>2</v>
      </c>
      <c r="D5" s="3" t="s">
        <v>3</v>
      </c>
      <c r="F5" s="3" t="s">
        <v>4</v>
      </c>
      <c r="H5" s="3" t="s">
        <v>5</v>
      </c>
    </row>
    <row r="6" spans="2:8" ht="20.25" x14ac:dyDescent="0.3">
      <c r="B6" s="4">
        <f>Summary!B3</f>
        <v>199086.59000000003</v>
      </c>
      <c r="D6" s="5">
        <f>Summary!B4</f>
        <v>2215</v>
      </c>
      <c r="F6" s="5">
        <f>Summary!B5</f>
        <v>50</v>
      </c>
      <c r="H6" s="6">
        <f>Summary!B7</f>
        <v>3981.7318000000005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4"/>
  <sheetViews>
    <sheetView zoomScaleNormal="100" workbookViewId="0"/>
  </sheetViews>
  <sheetFormatPr defaultColWidth="8.7109375" defaultRowHeight="15" x14ac:dyDescent="0.25"/>
  <cols>
    <col min="1" max="1" width="32" customWidth="1"/>
    <col min="2" max="2" width="18" customWidth="1"/>
    <col min="4" max="4" width="18" customWidth="1"/>
    <col min="5" max="5" width="14" customWidth="1"/>
    <col min="6" max="7" width="10" customWidth="1"/>
    <col min="9" max="9" width="12" customWidth="1"/>
    <col min="10" max="10" width="14" customWidth="1"/>
    <col min="11" max="11" width="10" customWidth="1"/>
    <col min="13" max="13" width="13" customWidth="1"/>
    <col min="14" max="14" width="12" customWidth="1"/>
    <col min="15" max="15" width="14" customWidth="1"/>
  </cols>
  <sheetData>
    <row r="1" spans="1:15" ht="15.75" x14ac:dyDescent="0.25">
      <c r="A1" s="7" t="s">
        <v>6</v>
      </c>
      <c r="D1" s="7" t="s">
        <v>7</v>
      </c>
      <c r="I1" s="7" t="s">
        <v>8</v>
      </c>
      <c r="M1" s="7" t="s">
        <v>9</v>
      </c>
    </row>
    <row r="2" spans="1:15" x14ac:dyDescent="0.25">
      <c r="D2" s="8" t="s">
        <v>10</v>
      </c>
      <c r="E2" s="8" t="s">
        <v>11</v>
      </c>
      <c r="F2" s="8" t="s">
        <v>12</v>
      </c>
      <c r="G2" s="8" t="s">
        <v>13</v>
      </c>
      <c r="I2" s="8" t="s">
        <v>14</v>
      </c>
      <c r="J2" s="8" t="s">
        <v>11</v>
      </c>
      <c r="K2" s="8" t="s">
        <v>13</v>
      </c>
      <c r="M2" s="8" t="s">
        <v>15</v>
      </c>
      <c r="N2" s="8" t="s">
        <v>4</v>
      </c>
      <c r="O2" s="8" t="s">
        <v>11</v>
      </c>
    </row>
    <row r="3" spans="1:15" x14ac:dyDescent="0.25">
      <c r="A3" s="9" t="s">
        <v>2</v>
      </c>
      <c r="B3" s="10">
        <f>SUM('Raw Data'!L2:L51)</f>
        <v>199086.59000000003</v>
      </c>
      <c r="D3" s="11" t="s">
        <v>16</v>
      </c>
      <c r="E3" s="12">
        <f>SUMIF('Raw Data'!D2:D51,D3,'Raw Data'!L2:L51)</f>
        <v>43717.380000000005</v>
      </c>
      <c r="F3" s="13">
        <f>SUMIF('Raw Data'!D2:D51,D3,'Raw Data'!J2:J51)</f>
        <v>361</v>
      </c>
      <c r="G3" s="13">
        <f>COUNTIF('Raw Data'!D2:D51,D3)</f>
        <v>8</v>
      </c>
      <c r="I3" s="11" t="s">
        <v>17</v>
      </c>
      <c r="J3" s="12">
        <f>SUMIF('Raw Data'!I2:I51,I3,'Raw Data'!L2:L51)</f>
        <v>39146.179999999993</v>
      </c>
      <c r="K3" s="13">
        <f>COUNTIF('Raw Data'!I2:I51,I3)</f>
        <v>10</v>
      </c>
      <c r="M3" s="11" t="s">
        <v>18</v>
      </c>
      <c r="N3" s="13">
        <f>COUNTIF('Raw Data'!M2:M51,M3)</f>
        <v>10</v>
      </c>
      <c r="O3" s="12">
        <f>SUMIF('Raw Data'!M2:M51,M3,'Raw Data'!L2:L51)</f>
        <v>40822.61</v>
      </c>
    </row>
    <row r="4" spans="1:15" x14ac:dyDescent="0.25">
      <c r="A4" s="9" t="s">
        <v>19</v>
      </c>
      <c r="B4" s="14">
        <f>SUM('Raw Data'!J2:J51)</f>
        <v>2215</v>
      </c>
      <c r="D4" s="11" t="s">
        <v>20</v>
      </c>
      <c r="E4" s="12">
        <f>SUMIF('Raw Data'!D2:D51,D4,'Raw Data'!L2:L51)</f>
        <v>28451.59</v>
      </c>
      <c r="F4" s="13">
        <f>SUMIF('Raw Data'!D2:D51,D4,'Raw Data'!J2:J51)</f>
        <v>324</v>
      </c>
      <c r="G4" s="13">
        <f>COUNTIF('Raw Data'!D2:D51,D4)</f>
        <v>7</v>
      </c>
      <c r="I4" s="11" t="s">
        <v>21</v>
      </c>
      <c r="J4" s="12">
        <f>SUMIF('Raw Data'!I2:I51,I4,'Raw Data'!L2:L51)</f>
        <v>119902.53</v>
      </c>
      <c r="K4" s="13">
        <f>COUNTIF('Raw Data'!I2:I51,I4)</f>
        <v>30</v>
      </c>
      <c r="M4" s="11" t="s">
        <v>22</v>
      </c>
      <c r="N4" s="13">
        <f>COUNTIF('Raw Data'!M2:M51,M4)</f>
        <v>10</v>
      </c>
      <c r="O4" s="12">
        <f>SUMIF('Raw Data'!M2:M51,M4,'Raw Data'!L2:L51)</f>
        <v>42346.57</v>
      </c>
    </row>
    <row r="5" spans="1:15" x14ac:dyDescent="0.25">
      <c r="A5" s="9" t="s">
        <v>4</v>
      </c>
      <c r="B5" s="14">
        <f>COUNTA('Raw Data'!A2:A51)</f>
        <v>50</v>
      </c>
      <c r="D5" s="11" t="s">
        <v>23</v>
      </c>
      <c r="E5" s="12">
        <f>SUMIF('Raw Data'!D2:D51,D5,'Raw Data'!L2:L51)</f>
        <v>17794.2</v>
      </c>
      <c r="F5" s="13">
        <f>SUMIF('Raw Data'!D2:D51,D5,'Raw Data'!J2:J51)</f>
        <v>318</v>
      </c>
      <c r="G5" s="13">
        <f>COUNTIF('Raw Data'!D2:D51,D5)</f>
        <v>7</v>
      </c>
      <c r="I5" s="11" t="s">
        <v>24</v>
      </c>
      <c r="J5" s="12">
        <f>SUMIF('Raw Data'!I2:I51,I5,'Raw Data'!L2:L51)</f>
        <v>40037.879999999997</v>
      </c>
      <c r="K5" s="13">
        <f>COUNTIF('Raw Data'!I2:I51,I5)</f>
        <v>10</v>
      </c>
      <c r="M5" s="11" t="s">
        <v>25</v>
      </c>
      <c r="N5" s="13">
        <f>COUNTIF('Raw Data'!M2:M51,M5)</f>
        <v>10</v>
      </c>
      <c r="O5" s="12">
        <f>SUMIF('Raw Data'!M2:M51,M5,'Raw Data'!L2:L51)</f>
        <v>38440.15</v>
      </c>
    </row>
    <row r="6" spans="1:15" x14ac:dyDescent="0.25">
      <c r="A6" s="9" t="s">
        <v>26</v>
      </c>
      <c r="B6" s="14">
        <f>SUMPRODUCT(1/COUNTIF('Raw Data'!F2:F51,'Raw Data'!F2:F51))</f>
        <v>9.9999999999999964</v>
      </c>
      <c r="D6" s="11" t="s">
        <v>27</v>
      </c>
      <c r="E6" s="12">
        <f>SUMIF('Raw Data'!D2:D51,D6,'Raw Data'!L2:L51)</f>
        <v>21635.940000000002</v>
      </c>
      <c r="F6" s="13">
        <f>SUMIF('Raw Data'!D2:D51,D6,'Raw Data'!J2:J51)</f>
        <v>312</v>
      </c>
      <c r="G6" s="13">
        <f>COUNTIF('Raw Data'!D2:D51,D6)</f>
        <v>7</v>
      </c>
      <c r="M6" s="11" t="s">
        <v>28</v>
      </c>
      <c r="N6" s="13">
        <f>COUNTIF('Raw Data'!M2:M51,M6)</f>
        <v>10</v>
      </c>
      <c r="O6" s="12">
        <f>SUMIF('Raw Data'!M2:M51,M6,'Raw Data'!L2:L51)</f>
        <v>43152.399999999994</v>
      </c>
    </row>
    <row r="7" spans="1:15" x14ac:dyDescent="0.25">
      <c r="A7" s="9" t="s">
        <v>29</v>
      </c>
      <c r="B7" s="10">
        <f>B3/B5</f>
        <v>3981.7318000000005</v>
      </c>
      <c r="D7" s="11" t="s">
        <v>30</v>
      </c>
      <c r="E7" s="12">
        <f>SUMIF('Raw Data'!D2:D51,D7,'Raw Data'!L2:L51)</f>
        <v>25370.41</v>
      </c>
      <c r="F7" s="13">
        <f>SUMIF('Raw Data'!D2:D51,D7,'Raw Data'!J2:J51)</f>
        <v>306</v>
      </c>
      <c r="G7" s="13">
        <f>COUNTIF('Raw Data'!D2:D51,D7)</f>
        <v>7</v>
      </c>
      <c r="M7" s="11" t="s">
        <v>31</v>
      </c>
      <c r="N7" s="13">
        <f>COUNTIF('Raw Data'!M2:M51,M7)</f>
        <v>10</v>
      </c>
      <c r="O7" s="12">
        <f>SUMIF('Raw Data'!M2:M51,M7,'Raw Data'!L2:L51)</f>
        <v>34324.86</v>
      </c>
    </row>
    <row r="8" spans="1:15" x14ac:dyDescent="0.25">
      <c r="A8" s="9" t="s">
        <v>32</v>
      </c>
      <c r="B8" s="10">
        <f>SUMIF('Raw Data'!M2:M51,"Cancelled",'Raw Data'!L2:L51)</f>
        <v>40822.61</v>
      </c>
      <c r="D8" s="11" t="s">
        <v>33</v>
      </c>
      <c r="E8" s="12">
        <f>SUMIF('Raw Data'!D2:D51,D8,'Raw Data'!L2:L51)</f>
        <v>29148.09</v>
      </c>
      <c r="F8" s="13">
        <f>SUMIF('Raw Data'!D2:D51,D8,'Raw Data'!J2:J51)</f>
        <v>300</v>
      </c>
      <c r="G8" s="13">
        <f>COUNTIF('Raw Data'!D2:D51,D8)</f>
        <v>7</v>
      </c>
    </row>
    <row r="9" spans="1:15" x14ac:dyDescent="0.25">
      <c r="D9" s="11" t="s">
        <v>34</v>
      </c>
      <c r="E9" s="12">
        <f>SUMIF('Raw Data'!D2:D51,D9,'Raw Data'!L2:L51)</f>
        <v>32968.979999999996</v>
      </c>
      <c r="F9" s="13">
        <f>SUMIF('Raw Data'!D2:D51,D9,'Raw Data'!J2:J51)</f>
        <v>294</v>
      </c>
      <c r="G9" s="13">
        <f>COUNTIF('Raw Data'!D2:D51,D9)</f>
        <v>7</v>
      </c>
    </row>
    <row r="11" spans="1:15" ht="15.75" x14ac:dyDescent="0.25">
      <c r="A11" s="7" t="s">
        <v>35</v>
      </c>
    </row>
    <row r="12" spans="1:15" x14ac:dyDescent="0.25">
      <c r="A12" s="8" t="s">
        <v>36</v>
      </c>
      <c r="B12" s="8" t="s">
        <v>11</v>
      </c>
    </row>
    <row r="13" spans="1:15" x14ac:dyDescent="0.25">
      <c r="A13" s="11" t="s">
        <v>37</v>
      </c>
      <c r="B13" s="12">
        <f>SUMIF('Raw Data'!O2:O51,1,'Raw Data'!L2:L51)</f>
        <v>7926.7699999999995</v>
      </c>
    </row>
    <row r="14" spans="1:15" x14ac:dyDescent="0.25">
      <c r="A14" s="11" t="s">
        <v>38</v>
      </c>
      <c r="B14" s="12">
        <f>SUMIF('Raw Data'!O2:O51,2,'Raw Data'!L2:L51)</f>
        <v>16184.93</v>
      </c>
    </row>
    <row r="15" spans="1:15" x14ac:dyDescent="0.25">
      <c r="A15" s="11" t="s">
        <v>39</v>
      </c>
      <c r="B15" s="12">
        <f>SUMIF('Raw Data'!O2:O51,3,'Raw Data'!L2:L51)</f>
        <v>21116.65</v>
      </c>
    </row>
    <row r="16" spans="1:15" x14ac:dyDescent="0.25">
      <c r="A16" s="11" t="s">
        <v>40</v>
      </c>
      <c r="B16" s="12">
        <f>SUMIF('Raw Data'!O2:O51,4,'Raw Data'!L2:L51)</f>
        <v>23012.190000000002</v>
      </c>
    </row>
    <row r="17" spans="1:2" x14ac:dyDescent="0.25">
      <c r="A17" s="11" t="s">
        <v>41</v>
      </c>
      <c r="B17" s="12">
        <f>SUMIF('Raw Data'!O2:O51,5,'Raw Data'!L2:L51)</f>
        <v>9196.73</v>
      </c>
    </row>
    <row r="18" spans="1:2" x14ac:dyDescent="0.25">
      <c r="A18" s="11" t="s">
        <v>42</v>
      </c>
      <c r="B18" s="12">
        <f>SUMIF('Raw Data'!O2:O51,6,'Raw Data'!L2:L51)</f>
        <v>18066.849999999999</v>
      </c>
    </row>
    <row r="19" spans="1:2" x14ac:dyDescent="0.25">
      <c r="A19" s="11" t="s">
        <v>43</v>
      </c>
      <c r="B19" s="12">
        <f>SUMIF('Raw Data'!O2:O51,7,'Raw Data'!L2:L51)</f>
        <v>18092.61</v>
      </c>
    </row>
    <row r="20" spans="1:2" x14ac:dyDescent="0.25">
      <c r="A20" s="11" t="s">
        <v>44</v>
      </c>
      <c r="B20" s="12">
        <f>SUMIF('Raw Data'!O2:O51,8,'Raw Data'!L2:L51)</f>
        <v>18965.11</v>
      </c>
    </row>
    <row r="21" spans="1:2" x14ac:dyDescent="0.25">
      <c r="A21" s="11" t="s">
        <v>45</v>
      </c>
      <c r="B21" s="12">
        <f>SUMIF('Raw Data'!O2:O51,9,'Raw Data'!L2:L51)</f>
        <v>10538.69</v>
      </c>
    </row>
    <row r="22" spans="1:2" x14ac:dyDescent="0.25">
      <c r="A22" s="11" t="s">
        <v>46</v>
      </c>
      <c r="B22" s="12">
        <f>SUMIF('Raw Data'!O2:O51,10,'Raw Data'!L2:L51)</f>
        <v>15175.77</v>
      </c>
    </row>
    <row r="23" spans="1:2" x14ac:dyDescent="0.25">
      <c r="A23" s="11" t="s">
        <v>47</v>
      </c>
      <c r="B23" s="12">
        <f>SUMIF('Raw Data'!O2:O51,11,'Raw Data'!L2:L51)</f>
        <v>20460.57</v>
      </c>
    </row>
    <row r="24" spans="1:2" x14ac:dyDescent="0.25">
      <c r="A24" s="11" t="s">
        <v>48</v>
      </c>
      <c r="B24" s="12">
        <f>SUMIF('Raw Data'!O2:O51,12,'Raw Data'!L2:L51)</f>
        <v>20349.719999999998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zoomScaleNormal="100" workbookViewId="0"/>
  </sheetViews>
  <sheetFormatPr defaultColWidth="8.7109375" defaultRowHeight="15" x14ac:dyDescent="0.25"/>
  <cols>
    <col min="1" max="1" width="7" customWidth="1"/>
    <col min="2" max="2" width="28" customWidth="1"/>
    <col min="3" max="4" width="12" customWidth="1"/>
    <col min="5" max="5" width="10" customWidth="1"/>
    <col min="6" max="6" width="14" customWidth="1"/>
    <col min="7" max="7" width="15" customWidth="1"/>
  </cols>
  <sheetData>
    <row r="1" spans="1:7" ht="15.75" x14ac:dyDescent="0.25">
      <c r="A1" s="7" t="s">
        <v>49</v>
      </c>
    </row>
    <row r="2" spans="1:7" x14ac:dyDescent="0.25">
      <c r="A2" s="8" t="s">
        <v>50</v>
      </c>
      <c r="B2" s="8" t="s">
        <v>51</v>
      </c>
      <c r="C2" s="8" t="s">
        <v>14</v>
      </c>
      <c r="D2" s="8" t="s">
        <v>4</v>
      </c>
      <c r="E2" s="8" t="s">
        <v>12</v>
      </c>
      <c r="F2" s="8" t="s">
        <v>11</v>
      </c>
      <c r="G2" s="8" t="s">
        <v>5</v>
      </c>
    </row>
    <row r="3" spans="1:7" x14ac:dyDescent="0.25">
      <c r="A3" s="11">
        <v>1</v>
      </c>
      <c r="B3" s="11" t="s">
        <v>52</v>
      </c>
      <c r="C3" s="11" t="str">
        <f>VLOOKUP(B3,'Raw Data'!$F$2:$I$51,4,FALSE())</f>
        <v>EMEA</v>
      </c>
      <c r="D3" s="13">
        <f>COUNTIF('Raw Data'!F2:F51,B3)</f>
        <v>5</v>
      </c>
      <c r="E3" s="13">
        <f>SUMIF('Raw Data'!F2:F51,B3,'Raw Data'!J2:J51)</f>
        <v>265</v>
      </c>
      <c r="F3" s="12">
        <f>SUMIF('Raw Data'!F2:F51,B3,'Raw Data'!L2:L51)</f>
        <v>24883.23</v>
      </c>
      <c r="G3" s="12">
        <f t="shared" ref="G3:G12" si="0">F3/D3</f>
        <v>4976.6459999999997</v>
      </c>
    </row>
    <row r="4" spans="1:7" x14ac:dyDescent="0.25">
      <c r="A4" s="11">
        <v>2</v>
      </c>
      <c r="B4" s="11" t="s">
        <v>53</v>
      </c>
      <c r="C4" s="11" t="str">
        <f>VLOOKUP(B4,'Raw Data'!$F$2:$I$51,4,FALSE())</f>
        <v>APAC</v>
      </c>
      <c r="D4" s="13">
        <f>COUNTIF('Raw Data'!F2:F51,B4)</f>
        <v>5</v>
      </c>
      <c r="E4" s="13">
        <f>SUMIF('Raw Data'!F2:F51,B4,'Raw Data'!J2:J51)</f>
        <v>230</v>
      </c>
      <c r="F4" s="12">
        <f>SUMIF('Raw Data'!F2:F51,B4,'Raw Data'!L2:L51)</f>
        <v>23206.799999999999</v>
      </c>
      <c r="G4" s="12">
        <f t="shared" si="0"/>
        <v>4641.3599999999997</v>
      </c>
    </row>
    <row r="5" spans="1:7" x14ac:dyDescent="0.25">
      <c r="A5" s="11">
        <v>3</v>
      </c>
      <c r="B5" s="11" t="s">
        <v>54</v>
      </c>
      <c r="C5" s="11" t="str">
        <f>VLOOKUP(B5,'Raw Data'!$F$2:$I$51,4,FALSE())</f>
        <v>EMEA</v>
      </c>
      <c r="D5" s="13">
        <f>COUNTIF('Raw Data'!F2:F51,B5)</f>
        <v>5</v>
      </c>
      <c r="E5" s="13">
        <f>SUMIF('Raw Data'!F2:F51,B5,'Raw Data'!J2:J51)</f>
        <v>225</v>
      </c>
      <c r="F5" s="12">
        <f>SUMIF('Raw Data'!F2:F51,B5,'Raw Data'!L2:L51)</f>
        <v>22417.01</v>
      </c>
      <c r="G5" s="12">
        <f t="shared" si="0"/>
        <v>4483.402</v>
      </c>
    </row>
    <row r="6" spans="1:7" x14ac:dyDescent="0.25">
      <c r="A6" s="11">
        <v>4</v>
      </c>
      <c r="B6" s="11" t="s">
        <v>55</v>
      </c>
      <c r="C6" s="11" t="str">
        <f>VLOOKUP(B6,'Raw Data'!$F$2:$I$51,4,FALSE())</f>
        <v>EMEA</v>
      </c>
      <c r="D6" s="13">
        <f>COUNTIF('Raw Data'!F2:F51,B6)</f>
        <v>5</v>
      </c>
      <c r="E6" s="13">
        <f>SUMIF('Raw Data'!F2:F51,B6,'Raw Data'!J2:J51)</f>
        <v>235</v>
      </c>
      <c r="F6" s="12">
        <f>SUMIF('Raw Data'!F2:F51,B6,'Raw Data'!L2:L51)</f>
        <v>22121.11</v>
      </c>
      <c r="G6" s="12">
        <f t="shared" si="0"/>
        <v>4424.2219999999998</v>
      </c>
    </row>
    <row r="7" spans="1:7" x14ac:dyDescent="0.25">
      <c r="A7" s="11">
        <v>5</v>
      </c>
      <c r="B7" s="11" t="s">
        <v>56</v>
      </c>
      <c r="C7" s="11" t="str">
        <f>VLOOKUP(B7,'Raw Data'!$F$2:$I$51,4,FALSE())</f>
        <v>NA</v>
      </c>
      <c r="D7" s="13">
        <f>COUNTIF('Raw Data'!F2:F51,B7)</f>
        <v>5</v>
      </c>
      <c r="E7" s="13">
        <f>SUMIF('Raw Data'!F2:F51,B7,'Raw Data'!J2:J51)</f>
        <v>250</v>
      </c>
      <c r="F7" s="12">
        <f>SUMIF('Raw Data'!F2:F51,B7,'Raw Data'!L2:L51)</f>
        <v>20092.28</v>
      </c>
      <c r="G7" s="12">
        <f t="shared" si="0"/>
        <v>4018.4559999999997</v>
      </c>
    </row>
    <row r="8" spans="1:7" x14ac:dyDescent="0.25">
      <c r="A8" s="11">
        <v>6</v>
      </c>
      <c r="B8" s="11" t="s">
        <v>57</v>
      </c>
      <c r="C8" s="11" t="str">
        <f>VLOOKUP(B8,'Raw Data'!$F$2:$I$51,4,FALSE())</f>
        <v>NA</v>
      </c>
      <c r="D8" s="13">
        <f>COUNTIF('Raw Data'!F2:F51,B8)</f>
        <v>5</v>
      </c>
      <c r="E8" s="13">
        <f>SUMIF('Raw Data'!F2:F51,B8,'Raw Data'!J2:J51)</f>
        <v>220</v>
      </c>
      <c r="F8" s="12">
        <f>SUMIF('Raw Data'!F2:F51,B8,'Raw Data'!L2:L51)</f>
        <v>19945.600000000002</v>
      </c>
      <c r="G8" s="12">
        <f t="shared" si="0"/>
        <v>3989.1200000000003</v>
      </c>
    </row>
    <row r="9" spans="1:7" x14ac:dyDescent="0.25">
      <c r="A9" s="11">
        <v>7</v>
      </c>
      <c r="B9" s="11" t="s">
        <v>58</v>
      </c>
      <c r="C9" s="11" t="str">
        <f>VLOOKUP(B9,'Raw Data'!$F$2:$I$51,4,FALSE())</f>
        <v>EMEA</v>
      </c>
      <c r="D9" s="13">
        <f>COUNTIF('Raw Data'!F2:F51,B9)</f>
        <v>5</v>
      </c>
      <c r="E9" s="13">
        <f>SUMIF('Raw Data'!F2:F51,B9,'Raw Data'!J2:J51)</f>
        <v>215</v>
      </c>
      <c r="F9" s="12">
        <f>SUMIF('Raw Data'!F2:F51,B9,'Raw Data'!L2:L51)</f>
        <v>19929.559999999998</v>
      </c>
      <c r="G9" s="12">
        <f t="shared" si="0"/>
        <v>3985.9119999999994</v>
      </c>
    </row>
    <row r="10" spans="1:7" x14ac:dyDescent="0.25">
      <c r="A10" s="11">
        <v>8</v>
      </c>
      <c r="B10" s="11" t="s">
        <v>59</v>
      </c>
      <c r="C10" s="11" t="str">
        <f>VLOOKUP(B10,'Raw Data'!$F$2:$I$51,4,FALSE())</f>
        <v>EMEA</v>
      </c>
      <c r="D10" s="13">
        <f>COUNTIF('Raw Data'!F2:F51,B10)</f>
        <v>5</v>
      </c>
      <c r="E10" s="13">
        <f>SUMIF('Raw Data'!F2:F51,B10,'Raw Data'!J2:J51)</f>
        <v>190</v>
      </c>
      <c r="F10" s="12">
        <f>SUMIF('Raw Data'!F2:F51,B10,'Raw Data'!L2:L51)</f>
        <v>16319.039999999999</v>
      </c>
      <c r="G10" s="12">
        <f t="shared" si="0"/>
        <v>3263.808</v>
      </c>
    </row>
    <row r="11" spans="1:7" x14ac:dyDescent="0.25">
      <c r="A11" s="11">
        <v>9</v>
      </c>
      <c r="B11" s="11" t="s">
        <v>60</v>
      </c>
      <c r="C11" s="11" t="str">
        <f>VLOOKUP(B11,'Raw Data'!$F$2:$I$51,4,FALSE())</f>
        <v>APAC</v>
      </c>
      <c r="D11" s="13">
        <f>COUNTIF('Raw Data'!F2:F51,B11)</f>
        <v>5</v>
      </c>
      <c r="E11" s="13">
        <f>SUMIF('Raw Data'!F2:F51,B11,'Raw Data'!J2:J51)</f>
        <v>200</v>
      </c>
      <c r="F11" s="12">
        <f>SUMIF('Raw Data'!F2:F51,B11,'Raw Data'!L2:L51)</f>
        <v>15939.380000000001</v>
      </c>
      <c r="G11" s="12">
        <f t="shared" si="0"/>
        <v>3187.8760000000002</v>
      </c>
    </row>
    <row r="12" spans="1:7" x14ac:dyDescent="0.25">
      <c r="A12" s="11">
        <v>10</v>
      </c>
      <c r="B12" s="11" t="s">
        <v>61</v>
      </c>
      <c r="C12" s="11" t="str">
        <f>VLOOKUP(B12,'Raw Data'!$F$2:$I$51,4,FALSE())</f>
        <v>EMEA</v>
      </c>
      <c r="D12" s="13">
        <f>COUNTIF('Raw Data'!F2:F51,B12)</f>
        <v>5</v>
      </c>
      <c r="E12" s="13">
        <f>SUMIF('Raw Data'!F2:F51,B12,'Raw Data'!J2:J51)</f>
        <v>185</v>
      </c>
      <c r="F12" s="12">
        <f>SUMIF('Raw Data'!F2:F51,B12,'Raw Data'!L2:L51)</f>
        <v>14232.58</v>
      </c>
      <c r="G12" s="12">
        <f t="shared" si="0"/>
        <v>2846.5160000000001</v>
      </c>
    </row>
  </sheetData>
  <conditionalFormatting sqref="F3:F12">
    <cfRule type="colorScale" priority="2">
      <colorScale>
        <cfvo type="min"/>
        <cfvo type="max"/>
        <color rgb="FFF4F1E8"/>
        <color rgb="FFC99A4B"/>
      </colorScale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2" width="10" customWidth="1"/>
    <col min="3" max="3" width="12" customWidth="1"/>
    <col min="4" max="4" width="15" customWidth="1"/>
    <col min="5" max="5" width="12" customWidth="1"/>
    <col min="6" max="6" width="26" customWidth="1"/>
    <col min="7" max="7" width="14" customWidth="1"/>
    <col min="8" max="8" width="12" customWidth="1"/>
    <col min="9" max="10" width="10" customWidth="1"/>
    <col min="11" max="11" width="11" customWidth="1"/>
    <col min="12" max="12" width="12" customWidth="1"/>
    <col min="13" max="13" width="11" customWidth="1"/>
    <col min="14" max="14" width="6" customWidth="1"/>
    <col min="15" max="16" width="7" customWidth="1"/>
  </cols>
  <sheetData>
    <row r="1" spans="1:16" x14ac:dyDescent="0.25">
      <c r="A1" s="15" t="s">
        <v>62</v>
      </c>
      <c r="B1" s="15" t="s">
        <v>63</v>
      </c>
      <c r="C1" s="15" t="s">
        <v>64</v>
      </c>
      <c r="D1" s="15" t="s">
        <v>10</v>
      </c>
      <c r="E1" s="15" t="s">
        <v>65</v>
      </c>
      <c r="F1" s="15" t="s">
        <v>51</v>
      </c>
      <c r="G1" s="15" t="s">
        <v>66</v>
      </c>
      <c r="H1" s="15" t="s">
        <v>67</v>
      </c>
      <c r="I1" s="15" t="s">
        <v>14</v>
      </c>
      <c r="J1" s="15" t="s">
        <v>68</v>
      </c>
      <c r="K1" s="15" t="s">
        <v>69</v>
      </c>
      <c r="L1" s="15" t="s">
        <v>11</v>
      </c>
      <c r="M1" s="15" t="s">
        <v>15</v>
      </c>
      <c r="N1" s="15" t="s">
        <v>70</v>
      </c>
      <c r="O1" s="15" t="s">
        <v>36</v>
      </c>
      <c r="P1" s="15" t="s">
        <v>71</v>
      </c>
    </row>
    <row r="2" spans="1:16" x14ac:dyDescent="0.25">
      <c r="A2" s="11">
        <v>10100</v>
      </c>
      <c r="B2" s="11">
        <v>1</v>
      </c>
      <c r="C2" s="16" t="s">
        <v>72</v>
      </c>
      <c r="D2" s="11" t="s">
        <v>16</v>
      </c>
      <c r="E2" s="11" t="s">
        <v>73</v>
      </c>
      <c r="F2" s="11" t="s">
        <v>61</v>
      </c>
      <c r="G2" s="11" t="s">
        <v>74</v>
      </c>
      <c r="H2" s="11" t="s">
        <v>75</v>
      </c>
      <c r="I2" s="11" t="s">
        <v>21</v>
      </c>
      <c r="J2" s="11">
        <v>18</v>
      </c>
      <c r="K2" s="17">
        <v>42.5</v>
      </c>
      <c r="L2" s="17">
        <v>765</v>
      </c>
      <c r="M2" s="11" t="s">
        <v>31</v>
      </c>
      <c r="N2" s="11">
        <v>1</v>
      </c>
      <c r="O2" s="11">
        <v>1</v>
      </c>
      <c r="P2" s="11">
        <v>2025</v>
      </c>
    </row>
    <row r="3" spans="1:16" x14ac:dyDescent="0.25">
      <c r="A3" s="11">
        <v>10101</v>
      </c>
      <c r="B3" s="11">
        <v>2</v>
      </c>
      <c r="C3" s="16" t="s">
        <v>76</v>
      </c>
      <c r="D3" s="11" t="s">
        <v>20</v>
      </c>
      <c r="E3" s="11" t="s">
        <v>77</v>
      </c>
      <c r="F3" s="11" t="s">
        <v>57</v>
      </c>
      <c r="G3" s="11" t="s">
        <v>78</v>
      </c>
      <c r="H3" s="11" t="s">
        <v>79</v>
      </c>
      <c r="I3" s="11" t="s">
        <v>24</v>
      </c>
      <c r="J3" s="11">
        <v>25</v>
      </c>
      <c r="K3" s="17">
        <v>56.49</v>
      </c>
      <c r="L3" s="17">
        <v>1412.25</v>
      </c>
      <c r="M3" s="11" t="s">
        <v>28</v>
      </c>
      <c r="N3" s="11">
        <v>1</v>
      </c>
      <c r="O3" s="11">
        <v>1</v>
      </c>
      <c r="P3" s="11">
        <v>2025</v>
      </c>
    </row>
    <row r="4" spans="1:16" x14ac:dyDescent="0.25">
      <c r="A4" s="11">
        <v>10102</v>
      </c>
      <c r="B4" s="11">
        <v>3</v>
      </c>
      <c r="C4" s="16" t="s">
        <v>80</v>
      </c>
      <c r="D4" s="11" t="s">
        <v>23</v>
      </c>
      <c r="E4" s="11" t="s">
        <v>81</v>
      </c>
      <c r="F4" s="11" t="s">
        <v>60</v>
      </c>
      <c r="G4" s="11" t="s">
        <v>82</v>
      </c>
      <c r="H4" s="11" t="s">
        <v>83</v>
      </c>
      <c r="I4" s="11" t="s">
        <v>17</v>
      </c>
      <c r="J4" s="11">
        <v>32</v>
      </c>
      <c r="K4" s="17">
        <v>70.48</v>
      </c>
      <c r="L4" s="17">
        <v>2255.36</v>
      </c>
      <c r="M4" s="11" t="s">
        <v>18</v>
      </c>
      <c r="N4" s="11">
        <v>1</v>
      </c>
      <c r="O4" s="11">
        <v>2</v>
      </c>
      <c r="P4" s="11">
        <v>2025</v>
      </c>
    </row>
    <row r="5" spans="1:16" x14ac:dyDescent="0.25">
      <c r="A5" s="11">
        <v>10103</v>
      </c>
      <c r="B5" s="11">
        <v>4</v>
      </c>
      <c r="C5" s="16" t="s">
        <v>84</v>
      </c>
      <c r="D5" s="11" t="s">
        <v>27</v>
      </c>
      <c r="E5" s="11" t="s">
        <v>85</v>
      </c>
      <c r="F5" s="11" t="s">
        <v>55</v>
      </c>
      <c r="G5" s="11" t="s">
        <v>74</v>
      </c>
      <c r="H5" s="11" t="s">
        <v>75</v>
      </c>
      <c r="I5" s="11" t="s">
        <v>21</v>
      </c>
      <c r="J5" s="11">
        <v>39</v>
      </c>
      <c r="K5" s="17">
        <v>84.47</v>
      </c>
      <c r="L5" s="17">
        <v>3294.33</v>
      </c>
      <c r="M5" s="11" t="s">
        <v>25</v>
      </c>
      <c r="N5" s="11">
        <v>1</v>
      </c>
      <c r="O5" s="11">
        <v>2</v>
      </c>
      <c r="P5" s="11">
        <v>2025</v>
      </c>
    </row>
    <row r="6" spans="1:16" x14ac:dyDescent="0.25">
      <c r="A6" s="11">
        <v>10104</v>
      </c>
      <c r="B6" s="11">
        <v>5</v>
      </c>
      <c r="C6" s="16" t="s">
        <v>86</v>
      </c>
      <c r="D6" s="11" t="s">
        <v>30</v>
      </c>
      <c r="E6" s="11" t="s">
        <v>87</v>
      </c>
      <c r="F6" s="11" t="s">
        <v>58</v>
      </c>
      <c r="G6" s="11" t="s">
        <v>88</v>
      </c>
      <c r="H6" s="11" t="s">
        <v>89</v>
      </c>
      <c r="I6" s="11" t="s">
        <v>21</v>
      </c>
      <c r="J6" s="11">
        <v>46</v>
      </c>
      <c r="K6" s="17">
        <v>94.5</v>
      </c>
      <c r="L6" s="17">
        <v>4347</v>
      </c>
      <c r="M6" s="11" t="s">
        <v>22</v>
      </c>
      <c r="N6" s="11">
        <v>1</v>
      </c>
      <c r="O6" s="11">
        <v>3</v>
      </c>
      <c r="P6" s="11">
        <v>2025</v>
      </c>
    </row>
    <row r="7" spans="1:16" x14ac:dyDescent="0.25">
      <c r="A7" s="11">
        <v>10105</v>
      </c>
      <c r="B7" s="11">
        <v>1</v>
      </c>
      <c r="C7" s="16" t="s">
        <v>90</v>
      </c>
      <c r="D7" s="11" t="s">
        <v>33</v>
      </c>
      <c r="E7" s="11" t="s">
        <v>91</v>
      </c>
      <c r="F7" s="11" t="s">
        <v>56</v>
      </c>
      <c r="G7" s="11" t="s">
        <v>92</v>
      </c>
      <c r="H7" s="11" t="s">
        <v>79</v>
      </c>
      <c r="I7" s="11" t="s">
        <v>24</v>
      </c>
      <c r="J7" s="11">
        <v>53</v>
      </c>
      <c r="K7" s="17">
        <v>108.49</v>
      </c>
      <c r="L7" s="17">
        <v>5749.97</v>
      </c>
      <c r="M7" s="11" t="s">
        <v>31</v>
      </c>
      <c r="N7" s="11">
        <v>1</v>
      </c>
      <c r="O7" s="11">
        <v>3</v>
      </c>
      <c r="P7" s="11">
        <v>2025</v>
      </c>
    </row>
    <row r="8" spans="1:16" x14ac:dyDescent="0.25">
      <c r="A8" s="11">
        <v>10106</v>
      </c>
      <c r="B8" s="11">
        <v>2</v>
      </c>
      <c r="C8" s="16" t="s">
        <v>93</v>
      </c>
      <c r="D8" s="11" t="s">
        <v>34</v>
      </c>
      <c r="E8" s="11" t="s">
        <v>94</v>
      </c>
      <c r="F8" s="11" t="s">
        <v>53</v>
      </c>
      <c r="G8" s="11" t="s">
        <v>95</v>
      </c>
      <c r="H8" s="11" t="s">
        <v>96</v>
      </c>
      <c r="I8" s="11" t="s">
        <v>17</v>
      </c>
      <c r="J8" s="11">
        <v>60</v>
      </c>
      <c r="K8" s="17">
        <v>122.48</v>
      </c>
      <c r="L8" s="17">
        <v>7348.8</v>
      </c>
      <c r="M8" s="11" t="s">
        <v>28</v>
      </c>
      <c r="N8" s="11">
        <v>2</v>
      </c>
      <c r="O8" s="11">
        <v>4</v>
      </c>
      <c r="P8" s="11">
        <v>2025</v>
      </c>
    </row>
    <row r="9" spans="1:16" x14ac:dyDescent="0.25">
      <c r="A9" s="11">
        <v>10107</v>
      </c>
      <c r="B9" s="11">
        <v>3</v>
      </c>
      <c r="C9" s="16" t="s">
        <v>97</v>
      </c>
      <c r="D9" s="11" t="s">
        <v>16</v>
      </c>
      <c r="E9" s="11" t="s">
        <v>73</v>
      </c>
      <c r="F9" s="11" t="s">
        <v>52</v>
      </c>
      <c r="G9" s="11" t="s">
        <v>98</v>
      </c>
      <c r="H9" s="11" t="s">
        <v>75</v>
      </c>
      <c r="I9" s="11" t="s">
        <v>21</v>
      </c>
      <c r="J9" s="11">
        <v>67</v>
      </c>
      <c r="K9" s="17">
        <v>136.47</v>
      </c>
      <c r="L9" s="17">
        <v>9143.49</v>
      </c>
      <c r="M9" s="11" t="s">
        <v>18</v>
      </c>
      <c r="N9" s="11">
        <v>2</v>
      </c>
      <c r="O9" s="11">
        <v>4</v>
      </c>
      <c r="P9" s="11">
        <v>2025</v>
      </c>
    </row>
    <row r="10" spans="1:16" x14ac:dyDescent="0.25">
      <c r="A10" s="11">
        <v>10108</v>
      </c>
      <c r="B10" s="11">
        <v>4</v>
      </c>
      <c r="C10" s="16" t="s">
        <v>99</v>
      </c>
      <c r="D10" s="11" t="s">
        <v>20</v>
      </c>
      <c r="E10" s="11" t="s">
        <v>77</v>
      </c>
      <c r="F10" s="11" t="s">
        <v>59</v>
      </c>
      <c r="G10" s="11" t="s">
        <v>100</v>
      </c>
      <c r="H10" s="11" t="s">
        <v>101</v>
      </c>
      <c r="I10" s="11" t="s">
        <v>21</v>
      </c>
      <c r="J10" s="11">
        <v>19</v>
      </c>
      <c r="K10" s="17">
        <v>51.5</v>
      </c>
      <c r="L10" s="17">
        <v>978.5</v>
      </c>
      <c r="M10" s="11" t="s">
        <v>25</v>
      </c>
      <c r="N10" s="11">
        <v>2</v>
      </c>
      <c r="O10" s="11">
        <v>5</v>
      </c>
      <c r="P10" s="11">
        <v>2025</v>
      </c>
    </row>
    <row r="11" spans="1:16" x14ac:dyDescent="0.25">
      <c r="A11" s="11">
        <v>10109</v>
      </c>
      <c r="B11" s="11">
        <v>5</v>
      </c>
      <c r="C11" s="16" t="s">
        <v>102</v>
      </c>
      <c r="D11" s="11" t="s">
        <v>23</v>
      </c>
      <c r="E11" s="11" t="s">
        <v>81</v>
      </c>
      <c r="F11" s="11" t="s">
        <v>54</v>
      </c>
      <c r="G11" s="11" t="s">
        <v>103</v>
      </c>
      <c r="H11" s="11" t="s">
        <v>104</v>
      </c>
      <c r="I11" s="11" t="s">
        <v>21</v>
      </c>
      <c r="J11" s="11">
        <v>26</v>
      </c>
      <c r="K11" s="17">
        <v>65.489999999999995</v>
      </c>
      <c r="L11" s="17">
        <v>1702.74</v>
      </c>
      <c r="M11" s="11" t="s">
        <v>22</v>
      </c>
      <c r="N11" s="11">
        <v>2</v>
      </c>
      <c r="O11" s="11">
        <v>5</v>
      </c>
      <c r="P11" s="11">
        <v>2025</v>
      </c>
    </row>
    <row r="12" spans="1:16" x14ac:dyDescent="0.25">
      <c r="A12" s="11">
        <v>10110</v>
      </c>
      <c r="B12" s="11">
        <v>1</v>
      </c>
      <c r="C12" s="16" t="s">
        <v>105</v>
      </c>
      <c r="D12" s="11" t="s">
        <v>27</v>
      </c>
      <c r="E12" s="11" t="s">
        <v>85</v>
      </c>
      <c r="F12" s="11" t="s">
        <v>61</v>
      </c>
      <c r="G12" s="11" t="s">
        <v>74</v>
      </c>
      <c r="H12" s="11" t="s">
        <v>75</v>
      </c>
      <c r="I12" s="11" t="s">
        <v>21</v>
      </c>
      <c r="J12" s="11">
        <v>33</v>
      </c>
      <c r="K12" s="17">
        <v>79.48</v>
      </c>
      <c r="L12" s="17">
        <v>2622.84</v>
      </c>
      <c r="M12" s="11" t="s">
        <v>31</v>
      </c>
      <c r="N12" s="11">
        <v>2</v>
      </c>
      <c r="O12" s="11">
        <v>6</v>
      </c>
      <c r="P12" s="11">
        <v>2025</v>
      </c>
    </row>
    <row r="13" spans="1:16" x14ac:dyDescent="0.25">
      <c r="A13" s="11">
        <v>10111</v>
      </c>
      <c r="B13" s="11">
        <v>2</v>
      </c>
      <c r="C13" s="16" t="s">
        <v>106</v>
      </c>
      <c r="D13" s="11" t="s">
        <v>30</v>
      </c>
      <c r="E13" s="11" t="s">
        <v>87</v>
      </c>
      <c r="F13" s="11" t="s">
        <v>57</v>
      </c>
      <c r="G13" s="11" t="s">
        <v>78</v>
      </c>
      <c r="H13" s="11" t="s">
        <v>79</v>
      </c>
      <c r="I13" s="11" t="s">
        <v>24</v>
      </c>
      <c r="J13" s="11">
        <v>40</v>
      </c>
      <c r="K13" s="17">
        <v>93.47</v>
      </c>
      <c r="L13" s="17">
        <v>3738.8</v>
      </c>
      <c r="M13" s="11" t="s">
        <v>28</v>
      </c>
      <c r="N13" s="11">
        <v>2</v>
      </c>
      <c r="O13" s="11">
        <v>6</v>
      </c>
      <c r="P13" s="11">
        <v>2025</v>
      </c>
    </row>
    <row r="14" spans="1:16" x14ac:dyDescent="0.25">
      <c r="A14" s="11">
        <v>10112</v>
      </c>
      <c r="B14" s="11">
        <v>3</v>
      </c>
      <c r="C14" s="16" t="s">
        <v>107</v>
      </c>
      <c r="D14" s="11" t="s">
        <v>33</v>
      </c>
      <c r="E14" s="11" t="s">
        <v>91</v>
      </c>
      <c r="F14" s="11" t="s">
        <v>60</v>
      </c>
      <c r="G14" s="11" t="s">
        <v>82</v>
      </c>
      <c r="H14" s="11" t="s">
        <v>83</v>
      </c>
      <c r="I14" s="11" t="s">
        <v>17</v>
      </c>
      <c r="J14" s="11">
        <v>47</v>
      </c>
      <c r="K14" s="17">
        <v>103.5</v>
      </c>
      <c r="L14" s="17">
        <v>4864.5</v>
      </c>
      <c r="M14" s="11" t="s">
        <v>18</v>
      </c>
      <c r="N14" s="11">
        <v>3</v>
      </c>
      <c r="O14" s="11">
        <v>7</v>
      </c>
      <c r="P14" s="11">
        <v>2025</v>
      </c>
    </row>
    <row r="15" spans="1:16" x14ac:dyDescent="0.25">
      <c r="A15" s="11">
        <v>10113</v>
      </c>
      <c r="B15" s="11">
        <v>4</v>
      </c>
      <c r="C15" s="16" t="s">
        <v>108</v>
      </c>
      <c r="D15" s="11" t="s">
        <v>34</v>
      </c>
      <c r="E15" s="11" t="s">
        <v>94</v>
      </c>
      <c r="F15" s="11" t="s">
        <v>55</v>
      </c>
      <c r="G15" s="11" t="s">
        <v>74</v>
      </c>
      <c r="H15" s="11" t="s">
        <v>75</v>
      </c>
      <c r="I15" s="11" t="s">
        <v>21</v>
      </c>
      <c r="J15" s="11">
        <v>54</v>
      </c>
      <c r="K15" s="17">
        <v>117.49</v>
      </c>
      <c r="L15" s="17">
        <v>6344.46</v>
      </c>
      <c r="M15" s="11" t="s">
        <v>25</v>
      </c>
      <c r="N15" s="11">
        <v>3</v>
      </c>
      <c r="O15" s="11">
        <v>7</v>
      </c>
      <c r="P15" s="11">
        <v>2025</v>
      </c>
    </row>
    <row r="16" spans="1:16" x14ac:dyDescent="0.25">
      <c r="A16" s="11">
        <v>10114</v>
      </c>
      <c r="B16" s="11">
        <v>5</v>
      </c>
      <c r="C16" s="16" t="s">
        <v>109</v>
      </c>
      <c r="D16" s="11" t="s">
        <v>16</v>
      </c>
      <c r="E16" s="11" t="s">
        <v>73</v>
      </c>
      <c r="F16" s="11" t="s">
        <v>58</v>
      </c>
      <c r="G16" s="11" t="s">
        <v>88</v>
      </c>
      <c r="H16" s="11" t="s">
        <v>89</v>
      </c>
      <c r="I16" s="11" t="s">
        <v>21</v>
      </c>
      <c r="J16" s="11">
        <v>61</v>
      </c>
      <c r="K16" s="17">
        <v>131.47999999999999</v>
      </c>
      <c r="L16" s="17">
        <v>8020.28</v>
      </c>
      <c r="M16" s="11" t="s">
        <v>22</v>
      </c>
      <c r="N16" s="11">
        <v>3</v>
      </c>
      <c r="O16" s="11">
        <v>8</v>
      </c>
      <c r="P16" s="11">
        <v>2025</v>
      </c>
    </row>
    <row r="17" spans="1:16" x14ac:dyDescent="0.25">
      <c r="A17" s="11">
        <v>10115</v>
      </c>
      <c r="B17" s="11">
        <v>1</v>
      </c>
      <c r="C17" s="16" t="s">
        <v>110</v>
      </c>
      <c r="D17" s="11" t="s">
        <v>20</v>
      </c>
      <c r="E17" s="11" t="s">
        <v>77</v>
      </c>
      <c r="F17" s="11" t="s">
        <v>56</v>
      </c>
      <c r="G17" s="11" t="s">
        <v>92</v>
      </c>
      <c r="H17" s="11" t="s">
        <v>79</v>
      </c>
      <c r="I17" s="11" t="s">
        <v>24</v>
      </c>
      <c r="J17" s="11">
        <v>68</v>
      </c>
      <c r="K17" s="17">
        <v>50.47</v>
      </c>
      <c r="L17" s="17">
        <v>3431.96</v>
      </c>
      <c r="M17" s="11" t="s">
        <v>31</v>
      </c>
      <c r="N17" s="11">
        <v>3</v>
      </c>
      <c r="O17" s="11">
        <v>8</v>
      </c>
      <c r="P17" s="11">
        <v>2025</v>
      </c>
    </row>
    <row r="18" spans="1:16" x14ac:dyDescent="0.25">
      <c r="A18" s="11">
        <v>10116</v>
      </c>
      <c r="B18" s="11">
        <v>2</v>
      </c>
      <c r="C18" s="16" t="s">
        <v>111</v>
      </c>
      <c r="D18" s="11" t="s">
        <v>23</v>
      </c>
      <c r="E18" s="11" t="s">
        <v>81</v>
      </c>
      <c r="F18" s="11" t="s">
        <v>53</v>
      </c>
      <c r="G18" s="11" t="s">
        <v>95</v>
      </c>
      <c r="H18" s="11" t="s">
        <v>96</v>
      </c>
      <c r="I18" s="11" t="s">
        <v>17</v>
      </c>
      <c r="J18" s="11">
        <v>20</v>
      </c>
      <c r="K18" s="17">
        <v>60.5</v>
      </c>
      <c r="L18" s="17">
        <v>1210</v>
      </c>
      <c r="M18" s="11" t="s">
        <v>28</v>
      </c>
      <c r="N18" s="11">
        <v>3</v>
      </c>
      <c r="O18" s="11">
        <v>9</v>
      </c>
      <c r="P18" s="11">
        <v>2025</v>
      </c>
    </row>
    <row r="19" spans="1:16" x14ac:dyDescent="0.25">
      <c r="A19" s="11">
        <v>10117</v>
      </c>
      <c r="B19" s="11">
        <v>3</v>
      </c>
      <c r="C19" s="16" t="s">
        <v>112</v>
      </c>
      <c r="D19" s="11" t="s">
        <v>27</v>
      </c>
      <c r="E19" s="11" t="s">
        <v>85</v>
      </c>
      <c r="F19" s="11" t="s">
        <v>52</v>
      </c>
      <c r="G19" s="11" t="s">
        <v>98</v>
      </c>
      <c r="H19" s="11" t="s">
        <v>75</v>
      </c>
      <c r="I19" s="11" t="s">
        <v>21</v>
      </c>
      <c r="J19" s="11">
        <v>27</v>
      </c>
      <c r="K19" s="17">
        <v>74.489999999999995</v>
      </c>
      <c r="L19" s="17">
        <v>2011.23</v>
      </c>
      <c r="M19" s="11" t="s">
        <v>18</v>
      </c>
      <c r="N19" s="11">
        <v>3</v>
      </c>
      <c r="O19" s="11">
        <v>9</v>
      </c>
      <c r="P19" s="11">
        <v>2025</v>
      </c>
    </row>
    <row r="20" spans="1:16" x14ac:dyDescent="0.25">
      <c r="A20" s="11">
        <v>10118</v>
      </c>
      <c r="B20" s="11">
        <v>4</v>
      </c>
      <c r="C20" s="16" t="s">
        <v>113</v>
      </c>
      <c r="D20" s="11" t="s">
        <v>30</v>
      </c>
      <c r="E20" s="11" t="s">
        <v>87</v>
      </c>
      <c r="F20" s="11" t="s">
        <v>59</v>
      </c>
      <c r="G20" s="11" t="s">
        <v>100</v>
      </c>
      <c r="H20" s="11" t="s">
        <v>101</v>
      </c>
      <c r="I20" s="11" t="s">
        <v>21</v>
      </c>
      <c r="J20" s="11">
        <v>34</v>
      </c>
      <c r="K20" s="17">
        <v>88.48</v>
      </c>
      <c r="L20" s="17">
        <v>3008.32</v>
      </c>
      <c r="M20" s="11" t="s">
        <v>25</v>
      </c>
      <c r="N20" s="11">
        <v>4</v>
      </c>
      <c r="O20" s="11">
        <v>10</v>
      </c>
      <c r="P20" s="11">
        <v>2025</v>
      </c>
    </row>
    <row r="21" spans="1:16" x14ac:dyDescent="0.25">
      <c r="A21" s="11">
        <v>10119</v>
      </c>
      <c r="B21" s="11">
        <v>5</v>
      </c>
      <c r="C21" s="16" t="s">
        <v>114</v>
      </c>
      <c r="D21" s="11" t="s">
        <v>33</v>
      </c>
      <c r="E21" s="11" t="s">
        <v>91</v>
      </c>
      <c r="F21" s="11" t="s">
        <v>54</v>
      </c>
      <c r="G21" s="11" t="s">
        <v>103</v>
      </c>
      <c r="H21" s="11" t="s">
        <v>104</v>
      </c>
      <c r="I21" s="11" t="s">
        <v>21</v>
      </c>
      <c r="J21" s="11">
        <v>41</v>
      </c>
      <c r="K21" s="17">
        <v>102.47</v>
      </c>
      <c r="L21" s="17">
        <v>4201.2700000000004</v>
      </c>
      <c r="M21" s="11" t="s">
        <v>22</v>
      </c>
      <c r="N21" s="11">
        <v>4</v>
      </c>
      <c r="O21" s="11">
        <v>10</v>
      </c>
      <c r="P21" s="11">
        <v>2025</v>
      </c>
    </row>
    <row r="22" spans="1:16" x14ac:dyDescent="0.25">
      <c r="A22" s="11">
        <v>10120</v>
      </c>
      <c r="B22" s="11">
        <v>1</v>
      </c>
      <c r="C22" s="16" t="s">
        <v>115</v>
      </c>
      <c r="D22" s="11" t="s">
        <v>34</v>
      </c>
      <c r="E22" s="11" t="s">
        <v>94</v>
      </c>
      <c r="F22" s="11" t="s">
        <v>61</v>
      </c>
      <c r="G22" s="11" t="s">
        <v>74</v>
      </c>
      <c r="H22" s="11" t="s">
        <v>75</v>
      </c>
      <c r="I22" s="11" t="s">
        <v>21</v>
      </c>
      <c r="J22" s="11">
        <v>48</v>
      </c>
      <c r="K22" s="17">
        <v>112.5</v>
      </c>
      <c r="L22" s="17">
        <v>5400</v>
      </c>
      <c r="M22" s="11" t="s">
        <v>31</v>
      </c>
      <c r="N22" s="11">
        <v>4</v>
      </c>
      <c r="O22" s="11">
        <v>11</v>
      </c>
      <c r="P22" s="11">
        <v>2025</v>
      </c>
    </row>
    <row r="23" spans="1:16" x14ac:dyDescent="0.25">
      <c r="A23" s="11">
        <v>10121</v>
      </c>
      <c r="B23" s="11">
        <v>2</v>
      </c>
      <c r="C23" s="16" t="s">
        <v>116</v>
      </c>
      <c r="D23" s="11" t="s">
        <v>16</v>
      </c>
      <c r="E23" s="11" t="s">
        <v>73</v>
      </c>
      <c r="F23" s="11" t="s">
        <v>57</v>
      </c>
      <c r="G23" s="11" t="s">
        <v>78</v>
      </c>
      <c r="H23" s="11" t="s">
        <v>79</v>
      </c>
      <c r="I23" s="11" t="s">
        <v>24</v>
      </c>
      <c r="J23" s="11">
        <v>55</v>
      </c>
      <c r="K23" s="17">
        <v>126.49</v>
      </c>
      <c r="L23" s="17">
        <v>6956.95</v>
      </c>
      <c r="M23" s="11" t="s">
        <v>28</v>
      </c>
      <c r="N23" s="11">
        <v>4</v>
      </c>
      <c r="O23" s="11">
        <v>11</v>
      </c>
      <c r="P23" s="11">
        <v>2025</v>
      </c>
    </row>
    <row r="24" spans="1:16" x14ac:dyDescent="0.25">
      <c r="A24" s="11">
        <v>10122</v>
      </c>
      <c r="B24" s="11">
        <v>3</v>
      </c>
      <c r="C24" s="16" t="s">
        <v>117</v>
      </c>
      <c r="D24" s="11" t="s">
        <v>20</v>
      </c>
      <c r="E24" s="11" t="s">
        <v>77</v>
      </c>
      <c r="F24" s="11" t="s">
        <v>60</v>
      </c>
      <c r="G24" s="11" t="s">
        <v>82</v>
      </c>
      <c r="H24" s="11" t="s">
        <v>83</v>
      </c>
      <c r="I24" s="11" t="s">
        <v>17</v>
      </c>
      <c r="J24" s="11">
        <v>62</v>
      </c>
      <c r="K24" s="17">
        <v>45.48</v>
      </c>
      <c r="L24" s="17">
        <v>2819.76</v>
      </c>
      <c r="M24" s="11" t="s">
        <v>18</v>
      </c>
      <c r="N24" s="11">
        <v>4</v>
      </c>
      <c r="O24" s="11">
        <v>12</v>
      </c>
      <c r="P24" s="11">
        <v>2025</v>
      </c>
    </row>
    <row r="25" spans="1:16" x14ac:dyDescent="0.25">
      <c r="A25" s="11">
        <v>10123</v>
      </c>
      <c r="B25" s="11">
        <v>4</v>
      </c>
      <c r="C25" s="16" t="s">
        <v>118</v>
      </c>
      <c r="D25" s="11" t="s">
        <v>23</v>
      </c>
      <c r="E25" s="11" t="s">
        <v>81</v>
      </c>
      <c r="F25" s="11" t="s">
        <v>55</v>
      </c>
      <c r="G25" s="11" t="s">
        <v>74</v>
      </c>
      <c r="H25" s="11" t="s">
        <v>75</v>
      </c>
      <c r="I25" s="11" t="s">
        <v>21</v>
      </c>
      <c r="J25" s="11">
        <v>69</v>
      </c>
      <c r="K25" s="17">
        <v>59.47</v>
      </c>
      <c r="L25" s="17">
        <v>4103.43</v>
      </c>
      <c r="M25" s="11" t="s">
        <v>25</v>
      </c>
      <c r="N25" s="11">
        <v>4</v>
      </c>
      <c r="O25" s="11">
        <v>12</v>
      </c>
      <c r="P25" s="11">
        <v>2025</v>
      </c>
    </row>
    <row r="26" spans="1:16" x14ac:dyDescent="0.25">
      <c r="A26" s="11">
        <v>10124</v>
      </c>
      <c r="B26" s="11">
        <v>5</v>
      </c>
      <c r="C26" s="16" t="s">
        <v>119</v>
      </c>
      <c r="D26" s="11" t="s">
        <v>27</v>
      </c>
      <c r="E26" s="11" t="s">
        <v>85</v>
      </c>
      <c r="F26" s="11" t="s">
        <v>58</v>
      </c>
      <c r="G26" s="11" t="s">
        <v>88</v>
      </c>
      <c r="H26" s="11" t="s">
        <v>89</v>
      </c>
      <c r="I26" s="11" t="s">
        <v>21</v>
      </c>
      <c r="J26" s="11">
        <v>21</v>
      </c>
      <c r="K26" s="17">
        <v>69.5</v>
      </c>
      <c r="L26" s="17">
        <v>1459.5</v>
      </c>
      <c r="M26" s="11" t="s">
        <v>22</v>
      </c>
      <c r="N26" s="11">
        <v>4</v>
      </c>
      <c r="O26" s="11">
        <v>12</v>
      </c>
      <c r="P26" s="11">
        <v>2025</v>
      </c>
    </row>
    <row r="27" spans="1:16" x14ac:dyDescent="0.25">
      <c r="A27" s="11">
        <v>10125</v>
      </c>
      <c r="B27" s="11">
        <v>1</v>
      </c>
      <c r="C27" s="16" t="s">
        <v>72</v>
      </c>
      <c r="D27" s="11" t="s">
        <v>30</v>
      </c>
      <c r="E27" s="11" t="s">
        <v>87</v>
      </c>
      <c r="F27" s="11" t="s">
        <v>56</v>
      </c>
      <c r="G27" s="11" t="s">
        <v>92</v>
      </c>
      <c r="H27" s="11" t="s">
        <v>79</v>
      </c>
      <c r="I27" s="11" t="s">
        <v>24</v>
      </c>
      <c r="J27" s="11">
        <v>28</v>
      </c>
      <c r="K27" s="17">
        <v>83.49</v>
      </c>
      <c r="L27" s="17">
        <v>2337.7199999999998</v>
      </c>
      <c r="M27" s="11" t="s">
        <v>31</v>
      </c>
      <c r="N27" s="11">
        <v>1</v>
      </c>
      <c r="O27" s="11">
        <v>1</v>
      </c>
      <c r="P27" s="11">
        <v>2025</v>
      </c>
    </row>
    <row r="28" spans="1:16" x14ac:dyDescent="0.25">
      <c r="A28" s="11">
        <v>10126</v>
      </c>
      <c r="B28" s="11">
        <v>2</v>
      </c>
      <c r="C28" s="16" t="s">
        <v>76</v>
      </c>
      <c r="D28" s="11" t="s">
        <v>33</v>
      </c>
      <c r="E28" s="11" t="s">
        <v>91</v>
      </c>
      <c r="F28" s="11" t="s">
        <v>53</v>
      </c>
      <c r="G28" s="11" t="s">
        <v>95</v>
      </c>
      <c r="H28" s="11" t="s">
        <v>96</v>
      </c>
      <c r="I28" s="11" t="s">
        <v>17</v>
      </c>
      <c r="J28" s="11">
        <v>35</v>
      </c>
      <c r="K28" s="17">
        <v>97.48</v>
      </c>
      <c r="L28" s="17">
        <v>3411.8</v>
      </c>
      <c r="M28" s="11" t="s">
        <v>28</v>
      </c>
      <c r="N28" s="11">
        <v>1</v>
      </c>
      <c r="O28" s="11">
        <v>1</v>
      </c>
      <c r="P28" s="11">
        <v>2025</v>
      </c>
    </row>
    <row r="29" spans="1:16" x14ac:dyDescent="0.25">
      <c r="A29" s="11">
        <v>10127</v>
      </c>
      <c r="B29" s="11">
        <v>3</v>
      </c>
      <c r="C29" s="16" t="s">
        <v>80</v>
      </c>
      <c r="D29" s="11" t="s">
        <v>34</v>
      </c>
      <c r="E29" s="11" t="s">
        <v>94</v>
      </c>
      <c r="F29" s="11" t="s">
        <v>52</v>
      </c>
      <c r="G29" s="11" t="s">
        <v>98</v>
      </c>
      <c r="H29" s="11" t="s">
        <v>75</v>
      </c>
      <c r="I29" s="11" t="s">
        <v>21</v>
      </c>
      <c r="J29" s="11">
        <v>42</v>
      </c>
      <c r="K29" s="17">
        <v>111.47</v>
      </c>
      <c r="L29" s="17">
        <v>4681.74</v>
      </c>
      <c r="M29" s="11" t="s">
        <v>18</v>
      </c>
      <c r="N29" s="11">
        <v>1</v>
      </c>
      <c r="O29" s="11">
        <v>2</v>
      </c>
      <c r="P29" s="11">
        <v>2025</v>
      </c>
    </row>
    <row r="30" spans="1:16" x14ac:dyDescent="0.25">
      <c r="A30" s="11">
        <v>10128</v>
      </c>
      <c r="B30" s="11">
        <v>4</v>
      </c>
      <c r="C30" s="16" t="s">
        <v>84</v>
      </c>
      <c r="D30" s="11" t="s">
        <v>16</v>
      </c>
      <c r="E30" s="11" t="s">
        <v>73</v>
      </c>
      <c r="F30" s="11" t="s">
        <v>59</v>
      </c>
      <c r="G30" s="11" t="s">
        <v>100</v>
      </c>
      <c r="H30" s="11" t="s">
        <v>101</v>
      </c>
      <c r="I30" s="11" t="s">
        <v>21</v>
      </c>
      <c r="J30" s="11">
        <v>49</v>
      </c>
      <c r="K30" s="17">
        <v>121.5</v>
      </c>
      <c r="L30" s="17">
        <v>5953.5</v>
      </c>
      <c r="M30" s="11" t="s">
        <v>25</v>
      </c>
      <c r="N30" s="11">
        <v>1</v>
      </c>
      <c r="O30" s="11">
        <v>2</v>
      </c>
      <c r="P30" s="11">
        <v>2025</v>
      </c>
    </row>
    <row r="31" spans="1:16" x14ac:dyDescent="0.25">
      <c r="A31" s="11">
        <v>10129</v>
      </c>
      <c r="B31" s="11">
        <v>5</v>
      </c>
      <c r="C31" s="16" t="s">
        <v>86</v>
      </c>
      <c r="D31" s="11" t="s">
        <v>20</v>
      </c>
      <c r="E31" s="11" t="s">
        <v>77</v>
      </c>
      <c r="F31" s="11" t="s">
        <v>54</v>
      </c>
      <c r="G31" s="11" t="s">
        <v>103</v>
      </c>
      <c r="H31" s="11" t="s">
        <v>104</v>
      </c>
      <c r="I31" s="11" t="s">
        <v>21</v>
      </c>
      <c r="J31" s="11">
        <v>56</v>
      </c>
      <c r="K31" s="17">
        <v>135.49</v>
      </c>
      <c r="L31" s="17">
        <v>7587.44</v>
      </c>
      <c r="M31" s="11" t="s">
        <v>22</v>
      </c>
      <c r="N31" s="11">
        <v>1</v>
      </c>
      <c r="O31" s="11">
        <v>3</v>
      </c>
      <c r="P31" s="11">
        <v>2025</v>
      </c>
    </row>
    <row r="32" spans="1:16" x14ac:dyDescent="0.25">
      <c r="A32" s="11">
        <v>10130</v>
      </c>
      <c r="B32" s="11">
        <v>1</v>
      </c>
      <c r="C32" s="16" t="s">
        <v>90</v>
      </c>
      <c r="D32" s="11" t="s">
        <v>23</v>
      </c>
      <c r="E32" s="11" t="s">
        <v>81</v>
      </c>
      <c r="F32" s="11" t="s">
        <v>61</v>
      </c>
      <c r="G32" s="11" t="s">
        <v>74</v>
      </c>
      <c r="H32" s="11" t="s">
        <v>75</v>
      </c>
      <c r="I32" s="11" t="s">
        <v>21</v>
      </c>
      <c r="J32" s="11">
        <v>63</v>
      </c>
      <c r="K32" s="17">
        <v>54.48</v>
      </c>
      <c r="L32" s="17">
        <v>3432.24</v>
      </c>
      <c r="M32" s="11" t="s">
        <v>31</v>
      </c>
      <c r="N32" s="11">
        <v>1</v>
      </c>
      <c r="O32" s="11">
        <v>3</v>
      </c>
      <c r="P32" s="11">
        <v>2025</v>
      </c>
    </row>
    <row r="33" spans="1:16" x14ac:dyDescent="0.25">
      <c r="A33" s="11">
        <v>10131</v>
      </c>
      <c r="B33" s="11">
        <v>2</v>
      </c>
      <c r="C33" s="16" t="s">
        <v>93</v>
      </c>
      <c r="D33" s="11" t="s">
        <v>27</v>
      </c>
      <c r="E33" s="11" t="s">
        <v>85</v>
      </c>
      <c r="F33" s="11" t="s">
        <v>57</v>
      </c>
      <c r="G33" s="11" t="s">
        <v>78</v>
      </c>
      <c r="H33" s="11" t="s">
        <v>79</v>
      </c>
      <c r="I33" s="11" t="s">
        <v>24</v>
      </c>
      <c r="J33" s="11">
        <v>70</v>
      </c>
      <c r="K33" s="17">
        <v>68.47</v>
      </c>
      <c r="L33" s="17">
        <v>4792.8999999999996</v>
      </c>
      <c r="M33" s="11" t="s">
        <v>28</v>
      </c>
      <c r="N33" s="11">
        <v>2</v>
      </c>
      <c r="O33" s="11">
        <v>4</v>
      </c>
      <c r="P33" s="11">
        <v>2025</v>
      </c>
    </row>
    <row r="34" spans="1:16" x14ac:dyDescent="0.25">
      <c r="A34" s="11">
        <v>10132</v>
      </c>
      <c r="B34" s="11">
        <v>3</v>
      </c>
      <c r="C34" s="16" t="s">
        <v>97</v>
      </c>
      <c r="D34" s="11" t="s">
        <v>30</v>
      </c>
      <c r="E34" s="11" t="s">
        <v>87</v>
      </c>
      <c r="F34" s="11" t="s">
        <v>60</v>
      </c>
      <c r="G34" s="11" t="s">
        <v>82</v>
      </c>
      <c r="H34" s="11" t="s">
        <v>83</v>
      </c>
      <c r="I34" s="11" t="s">
        <v>17</v>
      </c>
      <c r="J34" s="11">
        <v>22</v>
      </c>
      <c r="K34" s="17">
        <v>78.5</v>
      </c>
      <c r="L34" s="17">
        <v>1727</v>
      </c>
      <c r="M34" s="11" t="s">
        <v>18</v>
      </c>
      <c r="N34" s="11">
        <v>2</v>
      </c>
      <c r="O34" s="11">
        <v>4</v>
      </c>
      <c r="P34" s="11">
        <v>2025</v>
      </c>
    </row>
    <row r="35" spans="1:16" x14ac:dyDescent="0.25">
      <c r="A35" s="11">
        <v>10133</v>
      </c>
      <c r="B35" s="11">
        <v>4</v>
      </c>
      <c r="C35" s="16" t="s">
        <v>99</v>
      </c>
      <c r="D35" s="11" t="s">
        <v>33</v>
      </c>
      <c r="E35" s="11" t="s">
        <v>91</v>
      </c>
      <c r="F35" s="11" t="s">
        <v>55</v>
      </c>
      <c r="G35" s="11" t="s">
        <v>74</v>
      </c>
      <c r="H35" s="11" t="s">
        <v>75</v>
      </c>
      <c r="I35" s="11" t="s">
        <v>21</v>
      </c>
      <c r="J35" s="11">
        <v>29</v>
      </c>
      <c r="K35" s="17">
        <v>92.49</v>
      </c>
      <c r="L35" s="17">
        <v>2682.21</v>
      </c>
      <c r="M35" s="11" t="s">
        <v>25</v>
      </c>
      <c r="N35" s="11">
        <v>2</v>
      </c>
      <c r="O35" s="11">
        <v>5</v>
      </c>
      <c r="P35" s="11">
        <v>2025</v>
      </c>
    </row>
    <row r="36" spans="1:16" x14ac:dyDescent="0.25">
      <c r="A36" s="11">
        <v>10134</v>
      </c>
      <c r="B36" s="11">
        <v>5</v>
      </c>
      <c r="C36" s="16" t="s">
        <v>102</v>
      </c>
      <c r="D36" s="11" t="s">
        <v>34</v>
      </c>
      <c r="E36" s="11" t="s">
        <v>94</v>
      </c>
      <c r="F36" s="11" t="s">
        <v>58</v>
      </c>
      <c r="G36" s="11" t="s">
        <v>88</v>
      </c>
      <c r="H36" s="11" t="s">
        <v>89</v>
      </c>
      <c r="I36" s="11" t="s">
        <v>21</v>
      </c>
      <c r="J36" s="11">
        <v>36</v>
      </c>
      <c r="K36" s="17">
        <v>106.48</v>
      </c>
      <c r="L36" s="17">
        <v>3833.28</v>
      </c>
      <c r="M36" s="11" t="s">
        <v>22</v>
      </c>
      <c r="N36" s="11">
        <v>2</v>
      </c>
      <c r="O36" s="11">
        <v>5</v>
      </c>
      <c r="P36" s="11">
        <v>2025</v>
      </c>
    </row>
    <row r="37" spans="1:16" x14ac:dyDescent="0.25">
      <c r="A37" s="11">
        <v>10135</v>
      </c>
      <c r="B37" s="11">
        <v>1</v>
      </c>
      <c r="C37" s="16" t="s">
        <v>105</v>
      </c>
      <c r="D37" s="11" t="s">
        <v>16</v>
      </c>
      <c r="E37" s="11" t="s">
        <v>73</v>
      </c>
      <c r="F37" s="11" t="s">
        <v>56</v>
      </c>
      <c r="G37" s="11" t="s">
        <v>92</v>
      </c>
      <c r="H37" s="11" t="s">
        <v>79</v>
      </c>
      <c r="I37" s="11" t="s">
        <v>24</v>
      </c>
      <c r="J37" s="11">
        <v>43</v>
      </c>
      <c r="K37" s="17">
        <v>120.47</v>
      </c>
      <c r="L37" s="17">
        <v>5180.21</v>
      </c>
      <c r="M37" s="11" t="s">
        <v>31</v>
      </c>
      <c r="N37" s="11">
        <v>2</v>
      </c>
      <c r="O37" s="11">
        <v>6</v>
      </c>
      <c r="P37" s="11">
        <v>2025</v>
      </c>
    </row>
    <row r="38" spans="1:16" x14ac:dyDescent="0.25">
      <c r="A38" s="11">
        <v>10136</v>
      </c>
      <c r="B38" s="11">
        <v>2</v>
      </c>
      <c r="C38" s="16" t="s">
        <v>106</v>
      </c>
      <c r="D38" s="11" t="s">
        <v>20</v>
      </c>
      <c r="E38" s="11" t="s">
        <v>77</v>
      </c>
      <c r="F38" s="11" t="s">
        <v>53</v>
      </c>
      <c r="G38" s="11" t="s">
        <v>95</v>
      </c>
      <c r="H38" s="11" t="s">
        <v>96</v>
      </c>
      <c r="I38" s="11" t="s">
        <v>17</v>
      </c>
      <c r="J38" s="11">
        <v>50</v>
      </c>
      <c r="K38" s="17">
        <v>130.5</v>
      </c>
      <c r="L38" s="17">
        <v>6525</v>
      </c>
      <c r="M38" s="11" t="s">
        <v>28</v>
      </c>
      <c r="N38" s="11">
        <v>2</v>
      </c>
      <c r="O38" s="11">
        <v>6</v>
      </c>
      <c r="P38" s="11">
        <v>2025</v>
      </c>
    </row>
    <row r="39" spans="1:16" x14ac:dyDescent="0.25">
      <c r="A39" s="11">
        <v>10137</v>
      </c>
      <c r="B39" s="11">
        <v>3</v>
      </c>
      <c r="C39" s="16" t="s">
        <v>107</v>
      </c>
      <c r="D39" s="11" t="s">
        <v>23</v>
      </c>
      <c r="E39" s="11" t="s">
        <v>81</v>
      </c>
      <c r="F39" s="11" t="s">
        <v>52</v>
      </c>
      <c r="G39" s="11" t="s">
        <v>98</v>
      </c>
      <c r="H39" s="11" t="s">
        <v>75</v>
      </c>
      <c r="I39" s="11" t="s">
        <v>21</v>
      </c>
      <c r="J39" s="11">
        <v>57</v>
      </c>
      <c r="K39" s="17">
        <v>49.49</v>
      </c>
      <c r="L39" s="17">
        <v>2820.93</v>
      </c>
      <c r="M39" s="11" t="s">
        <v>18</v>
      </c>
      <c r="N39" s="11">
        <v>3</v>
      </c>
      <c r="O39" s="11">
        <v>7</v>
      </c>
      <c r="P39" s="11">
        <v>2025</v>
      </c>
    </row>
    <row r="40" spans="1:16" x14ac:dyDescent="0.25">
      <c r="A40" s="11">
        <v>10138</v>
      </c>
      <c r="B40" s="11">
        <v>4</v>
      </c>
      <c r="C40" s="16" t="s">
        <v>108</v>
      </c>
      <c r="D40" s="11" t="s">
        <v>27</v>
      </c>
      <c r="E40" s="11" t="s">
        <v>85</v>
      </c>
      <c r="F40" s="11" t="s">
        <v>59</v>
      </c>
      <c r="G40" s="11" t="s">
        <v>100</v>
      </c>
      <c r="H40" s="11" t="s">
        <v>101</v>
      </c>
      <c r="I40" s="11" t="s">
        <v>21</v>
      </c>
      <c r="J40" s="11">
        <v>64</v>
      </c>
      <c r="K40" s="17">
        <v>63.48</v>
      </c>
      <c r="L40" s="17">
        <v>4062.72</v>
      </c>
      <c r="M40" s="11" t="s">
        <v>25</v>
      </c>
      <c r="N40" s="11">
        <v>3</v>
      </c>
      <c r="O40" s="11">
        <v>7</v>
      </c>
      <c r="P40" s="11">
        <v>2025</v>
      </c>
    </row>
    <row r="41" spans="1:16" x14ac:dyDescent="0.25">
      <c r="A41" s="11">
        <v>10139</v>
      </c>
      <c r="B41" s="11">
        <v>5</v>
      </c>
      <c r="C41" s="16" t="s">
        <v>109</v>
      </c>
      <c r="D41" s="11" t="s">
        <v>30</v>
      </c>
      <c r="E41" s="11" t="s">
        <v>87</v>
      </c>
      <c r="F41" s="11" t="s">
        <v>54</v>
      </c>
      <c r="G41" s="11" t="s">
        <v>103</v>
      </c>
      <c r="H41" s="11" t="s">
        <v>104</v>
      </c>
      <c r="I41" s="11" t="s">
        <v>21</v>
      </c>
      <c r="J41" s="11">
        <v>71</v>
      </c>
      <c r="K41" s="17">
        <v>77.47</v>
      </c>
      <c r="L41" s="17">
        <v>5500.37</v>
      </c>
      <c r="M41" s="11" t="s">
        <v>22</v>
      </c>
      <c r="N41" s="11">
        <v>3</v>
      </c>
      <c r="O41" s="11">
        <v>8</v>
      </c>
      <c r="P41" s="11">
        <v>2025</v>
      </c>
    </row>
    <row r="42" spans="1:16" x14ac:dyDescent="0.25">
      <c r="A42" s="11">
        <v>10140</v>
      </c>
      <c r="B42" s="11">
        <v>1</v>
      </c>
      <c r="C42" s="16" t="s">
        <v>110</v>
      </c>
      <c r="D42" s="11" t="s">
        <v>33</v>
      </c>
      <c r="E42" s="11" t="s">
        <v>91</v>
      </c>
      <c r="F42" s="11" t="s">
        <v>61</v>
      </c>
      <c r="G42" s="11" t="s">
        <v>74</v>
      </c>
      <c r="H42" s="11" t="s">
        <v>75</v>
      </c>
      <c r="I42" s="11" t="s">
        <v>21</v>
      </c>
      <c r="J42" s="11">
        <v>23</v>
      </c>
      <c r="K42" s="17">
        <v>87.5</v>
      </c>
      <c r="L42" s="17">
        <v>2012.5</v>
      </c>
      <c r="M42" s="11" t="s">
        <v>31</v>
      </c>
      <c r="N42" s="11">
        <v>3</v>
      </c>
      <c r="O42" s="11">
        <v>8</v>
      </c>
      <c r="P42" s="11">
        <v>2025</v>
      </c>
    </row>
    <row r="43" spans="1:16" x14ac:dyDescent="0.25">
      <c r="A43" s="11">
        <v>10141</v>
      </c>
      <c r="B43" s="11">
        <v>2</v>
      </c>
      <c r="C43" s="16" t="s">
        <v>111</v>
      </c>
      <c r="D43" s="11" t="s">
        <v>34</v>
      </c>
      <c r="E43" s="11" t="s">
        <v>94</v>
      </c>
      <c r="F43" s="11" t="s">
        <v>57</v>
      </c>
      <c r="G43" s="11" t="s">
        <v>78</v>
      </c>
      <c r="H43" s="11" t="s">
        <v>79</v>
      </c>
      <c r="I43" s="11" t="s">
        <v>24</v>
      </c>
      <c r="J43" s="11">
        <v>30</v>
      </c>
      <c r="K43" s="17">
        <v>101.49</v>
      </c>
      <c r="L43" s="17">
        <v>3044.7</v>
      </c>
      <c r="M43" s="11" t="s">
        <v>28</v>
      </c>
      <c r="N43" s="11">
        <v>3</v>
      </c>
      <c r="O43" s="11">
        <v>9</v>
      </c>
      <c r="P43" s="11">
        <v>2025</v>
      </c>
    </row>
    <row r="44" spans="1:16" x14ac:dyDescent="0.25">
      <c r="A44" s="11">
        <v>10142</v>
      </c>
      <c r="B44" s="11">
        <v>3</v>
      </c>
      <c r="C44" s="16" t="s">
        <v>112</v>
      </c>
      <c r="D44" s="11" t="s">
        <v>16</v>
      </c>
      <c r="E44" s="11" t="s">
        <v>73</v>
      </c>
      <c r="F44" s="11" t="s">
        <v>60</v>
      </c>
      <c r="G44" s="11" t="s">
        <v>82</v>
      </c>
      <c r="H44" s="11" t="s">
        <v>83</v>
      </c>
      <c r="I44" s="11" t="s">
        <v>17</v>
      </c>
      <c r="J44" s="11">
        <v>37</v>
      </c>
      <c r="K44" s="17">
        <v>115.48</v>
      </c>
      <c r="L44" s="17">
        <v>4272.76</v>
      </c>
      <c r="M44" s="11" t="s">
        <v>18</v>
      </c>
      <c r="N44" s="11">
        <v>3</v>
      </c>
      <c r="O44" s="11">
        <v>9</v>
      </c>
      <c r="P44" s="11">
        <v>2025</v>
      </c>
    </row>
    <row r="45" spans="1:16" x14ac:dyDescent="0.25">
      <c r="A45" s="11">
        <v>10143</v>
      </c>
      <c r="B45" s="11">
        <v>4</v>
      </c>
      <c r="C45" s="16" t="s">
        <v>113</v>
      </c>
      <c r="D45" s="11" t="s">
        <v>20</v>
      </c>
      <c r="E45" s="11" t="s">
        <v>77</v>
      </c>
      <c r="F45" s="11" t="s">
        <v>55</v>
      </c>
      <c r="G45" s="11" t="s">
        <v>74</v>
      </c>
      <c r="H45" s="11" t="s">
        <v>75</v>
      </c>
      <c r="I45" s="11" t="s">
        <v>21</v>
      </c>
      <c r="J45" s="11">
        <v>44</v>
      </c>
      <c r="K45" s="17">
        <v>129.47</v>
      </c>
      <c r="L45" s="17">
        <v>5696.68</v>
      </c>
      <c r="M45" s="11" t="s">
        <v>25</v>
      </c>
      <c r="N45" s="11">
        <v>4</v>
      </c>
      <c r="O45" s="11">
        <v>10</v>
      </c>
      <c r="P45" s="11">
        <v>2025</v>
      </c>
    </row>
    <row r="46" spans="1:16" x14ac:dyDescent="0.25">
      <c r="A46" s="11">
        <v>10144</v>
      </c>
      <c r="B46" s="11">
        <v>5</v>
      </c>
      <c r="C46" s="16" t="s">
        <v>114</v>
      </c>
      <c r="D46" s="11" t="s">
        <v>23</v>
      </c>
      <c r="E46" s="11" t="s">
        <v>81</v>
      </c>
      <c r="F46" s="11" t="s">
        <v>58</v>
      </c>
      <c r="G46" s="11" t="s">
        <v>88</v>
      </c>
      <c r="H46" s="11" t="s">
        <v>89</v>
      </c>
      <c r="I46" s="11" t="s">
        <v>21</v>
      </c>
      <c r="J46" s="11">
        <v>51</v>
      </c>
      <c r="K46" s="17">
        <v>44.5</v>
      </c>
      <c r="L46" s="17">
        <v>2269.5</v>
      </c>
      <c r="M46" s="11" t="s">
        <v>22</v>
      </c>
      <c r="N46" s="11">
        <v>4</v>
      </c>
      <c r="O46" s="11">
        <v>10</v>
      </c>
      <c r="P46" s="11">
        <v>2025</v>
      </c>
    </row>
    <row r="47" spans="1:16" x14ac:dyDescent="0.25">
      <c r="A47" s="11">
        <v>10145</v>
      </c>
      <c r="B47" s="11">
        <v>1</v>
      </c>
      <c r="C47" s="16" t="s">
        <v>115</v>
      </c>
      <c r="D47" s="11" t="s">
        <v>27</v>
      </c>
      <c r="E47" s="11" t="s">
        <v>85</v>
      </c>
      <c r="F47" s="11" t="s">
        <v>56</v>
      </c>
      <c r="G47" s="11" t="s">
        <v>92</v>
      </c>
      <c r="H47" s="11" t="s">
        <v>79</v>
      </c>
      <c r="I47" s="11" t="s">
        <v>24</v>
      </c>
      <c r="J47" s="11">
        <v>58</v>
      </c>
      <c r="K47" s="17">
        <v>58.49</v>
      </c>
      <c r="L47" s="17">
        <v>3392.42</v>
      </c>
      <c r="M47" s="11" t="s">
        <v>31</v>
      </c>
      <c r="N47" s="11">
        <v>4</v>
      </c>
      <c r="O47" s="11">
        <v>11</v>
      </c>
      <c r="P47" s="11">
        <v>2025</v>
      </c>
    </row>
    <row r="48" spans="1:16" x14ac:dyDescent="0.25">
      <c r="A48" s="11">
        <v>10146</v>
      </c>
      <c r="B48" s="11">
        <v>2</v>
      </c>
      <c r="C48" s="16" t="s">
        <v>116</v>
      </c>
      <c r="D48" s="11" t="s">
        <v>30</v>
      </c>
      <c r="E48" s="11" t="s">
        <v>87</v>
      </c>
      <c r="F48" s="11" t="s">
        <v>53</v>
      </c>
      <c r="G48" s="11" t="s">
        <v>95</v>
      </c>
      <c r="H48" s="11" t="s">
        <v>96</v>
      </c>
      <c r="I48" s="11" t="s">
        <v>17</v>
      </c>
      <c r="J48" s="11">
        <v>65</v>
      </c>
      <c r="K48" s="17">
        <v>72.48</v>
      </c>
      <c r="L48" s="17">
        <v>4711.2</v>
      </c>
      <c r="M48" s="11" t="s">
        <v>28</v>
      </c>
      <c r="N48" s="11">
        <v>4</v>
      </c>
      <c r="O48" s="11">
        <v>11</v>
      </c>
      <c r="P48" s="11">
        <v>2025</v>
      </c>
    </row>
    <row r="49" spans="1:16" x14ac:dyDescent="0.25">
      <c r="A49" s="11">
        <v>10147</v>
      </c>
      <c r="B49" s="11">
        <v>3</v>
      </c>
      <c r="C49" s="16" t="s">
        <v>117</v>
      </c>
      <c r="D49" s="11" t="s">
        <v>33</v>
      </c>
      <c r="E49" s="11" t="s">
        <v>91</v>
      </c>
      <c r="F49" s="11" t="s">
        <v>52</v>
      </c>
      <c r="G49" s="11" t="s">
        <v>98</v>
      </c>
      <c r="H49" s="11" t="s">
        <v>75</v>
      </c>
      <c r="I49" s="11" t="s">
        <v>21</v>
      </c>
      <c r="J49" s="11">
        <v>72</v>
      </c>
      <c r="K49" s="17">
        <v>86.47</v>
      </c>
      <c r="L49" s="17">
        <v>6225.84</v>
      </c>
      <c r="M49" s="11" t="s">
        <v>18</v>
      </c>
      <c r="N49" s="11">
        <v>4</v>
      </c>
      <c r="O49" s="11">
        <v>12</v>
      </c>
      <c r="P49" s="11">
        <v>2025</v>
      </c>
    </row>
    <row r="50" spans="1:16" x14ac:dyDescent="0.25">
      <c r="A50" s="11">
        <v>10148</v>
      </c>
      <c r="B50" s="11">
        <v>4</v>
      </c>
      <c r="C50" s="16" t="s">
        <v>118</v>
      </c>
      <c r="D50" s="11" t="s">
        <v>34</v>
      </c>
      <c r="E50" s="11" t="s">
        <v>94</v>
      </c>
      <c r="F50" s="11" t="s">
        <v>59</v>
      </c>
      <c r="G50" s="11" t="s">
        <v>100</v>
      </c>
      <c r="H50" s="11" t="s">
        <v>101</v>
      </c>
      <c r="I50" s="11" t="s">
        <v>21</v>
      </c>
      <c r="J50" s="11">
        <v>24</v>
      </c>
      <c r="K50" s="17">
        <v>96.5</v>
      </c>
      <c r="L50" s="17">
        <v>2316</v>
      </c>
      <c r="M50" s="11" t="s">
        <v>25</v>
      </c>
      <c r="N50" s="11">
        <v>4</v>
      </c>
      <c r="O50" s="11">
        <v>12</v>
      </c>
      <c r="P50" s="11">
        <v>2025</v>
      </c>
    </row>
    <row r="51" spans="1:16" x14ac:dyDescent="0.25">
      <c r="A51" s="11">
        <v>10149</v>
      </c>
      <c r="B51" s="11">
        <v>5</v>
      </c>
      <c r="C51" s="16" t="s">
        <v>119</v>
      </c>
      <c r="D51" s="11" t="s">
        <v>16</v>
      </c>
      <c r="E51" s="11" t="s">
        <v>73</v>
      </c>
      <c r="F51" s="11" t="s">
        <v>54</v>
      </c>
      <c r="G51" s="11" t="s">
        <v>103</v>
      </c>
      <c r="H51" s="11" t="s">
        <v>104</v>
      </c>
      <c r="I51" s="11" t="s">
        <v>21</v>
      </c>
      <c r="J51" s="11">
        <v>31</v>
      </c>
      <c r="K51" s="17">
        <v>110.49</v>
      </c>
      <c r="L51" s="17">
        <v>3425.19</v>
      </c>
      <c r="M51" s="11" t="s">
        <v>22</v>
      </c>
      <c r="N51" s="11">
        <v>4</v>
      </c>
      <c r="O51" s="11">
        <v>12</v>
      </c>
      <c r="P51" s="11">
        <v>2025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Summary</vt:lpstr>
      <vt:lpstr>Top Accounts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dinesh sharma</cp:lastModifiedBy>
  <cp:revision>1</cp:revision>
  <dcterms:created xsi:type="dcterms:W3CDTF">2026-09-10T09:50:46Z</dcterms:created>
  <dcterms:modified xsi:type="dcterms:W3CDTF">2026-09-10T09:51:49Z</dcterms:modified>
  <dc:language>en-US</dc:language>
</cp:coreProperties>
</file>